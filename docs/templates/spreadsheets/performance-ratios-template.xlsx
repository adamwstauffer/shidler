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GitHub\shidler\docs\templates\spreadsheets\"/>
    </mc:Choice>
  </mc:AlternateContent>
  <xr:revisionPtr revIDLastSave="0" documentId="11_C2087B7F3B7CCEACD4328DE2D1E5418A185D2F1D" xr6:coauthVersionLast="47" xr6:coauthVersionMax="47" xr10:uidLastSave="{00000000-0000-0000-0000-000000000000}"/>
  <bookViews>
    <workbookView xWindow="-110" yWindow="-110" windowWidth="25820" windowHeight="15500" xr2:uid="{00000000-000D-0000-FFFF-FFFF00000000}"/>
  </bookViews>
  <sheets>
    <sheet name="Cover" sheetId="1" r:id="rId1"/>
    <sheet name="Balance Sheet" sheetId="2" r:id="rId2"/>
    <sheet name="Income Statement" sheetId="3" r:id="rId3"/>
    <sheet name="Cash Flow Statement" sheetId="4" r:id="rId4"/>
    <sheet name="Ratios" sheetId="5" r:id="rId5"/>
    <sheet name="Notes" sheetId="6" r:id="rId6"/>
  </sheets>
  <definedNames>
    <definedName name="avg_equity">Ratios!$C$36</definedName>
    <definedName name="avg_total_assets">Ratios!$C$37</definedName>
    <definedName name="avg_total_capitalization">Ratios!$C$38</definedName>
    <definedName name="BAL_accounts_payable_curr">'Balance Sheet'!$G$8</definedName>
    <definedName name="BAL_accounts_payable_prior">'Balance Sheet'!$H$8</definedName>
    <definedName name="BAL_accumulated_depreciation_curr">'Balance Sheet'!$C$15</definedName>
    <definedName name="BAL_accumulated_depreciation_prior">'Balance Sheet'!$D$15</definedName>
    <definedName name="BAL_assets_current_curr">'Balance Sheet'!$C$11</definedName>
    <definedName name="BAL_assets_current_prior">'Balance Sheet'!$D$11</definedName>
    <definedName name="BAL_assets_total_curr">'Balance Sheet'!$C$23</definedName>
    <definedName name="BAL_assets_total_prior">'Balance Sheet'!$D$23</definedName>
    <definedName name="BAL_cash_marketable_securities_curr">'Balance Sheet'!$C$7</definedName>
    <definedName name="BAL_cash_marketable_securities_prior">'Balance Sheet'!$D$7</definedName>
    <definedName name="BAL_common_stock_curr">'Balance Sheet'!$G$18</definedName>
    <definedName name="BAL_common_stock_prior">'Balance Sheet'!$H$18</definedName>
    <definedName name="BAL_debt_long_term_curr">'Balance Sheet'!$G$12</definedName>
    <definedName name="BAL_debt_long_term_prior">'Balance Sheet'!$H$12</definedName>
    <definedName name="BAL_debt_short_term_curr">'Balance Sheet'!$G$7</definedName>
    <definedName name="BAL_debt_short_term_prior">'Balance Sheet'!$H$7</definedName>
    <definedName name="BAL_equity_shareholders_curr">'Balance Sheet'!$G$20</definedName>
    <definedName name="BAL_equity_shareholders_prior">'Balance Sheet'!$H$20</definedName>
    <definedName name="BAL_fixed_assets_net_curr">'Balance Sheet'!$C$16</definedName>
    <definedName name="BAL_fixed_assets_net_prior">'Balance Sheet'!$D$16</definedName>
    <definedName name="BAL_intangibles_curr">'Balance Sheet'!$C$19</definedName>
    <definedName name="BAL_intangibles_prior">'Balance Sheet'!$D$19</definedName>
    <definedName name="BAL_inventories_curr">'Balance Sheet'!$C$9</definedName>
    <definedName name="BAL_inventories_prior">'Balance Sheet'!$D$9</definedName>
    <definedName name="BAL_liabilities_current_curr">'Balance Sheet'!$G$10</definedName>
    <definedName name="BAL_liabilities_current_prior">'Balance Sheet'!$H$10</definedName>
    <definedName name="BAL_liabilities_total_curr">'Balance Sheet'!$G$15</definedName>
    <definedName name="BAL_liabilities_total_prior">'Balance Sheet'!$H$15</definedName>
    <definedName name="BAL_other_assets_curr">'Balance Sheet'!$C$20</definedName>
    <definedName name="BAL_other_assets_prior">'Balance Sheet'!$D$20</definedName>
    <definedName name="BAL_other_current_assets_curr">'Balance Sheet'!$C$10</definedName>
    <definedName name="BAL_other_current_assets_prior">'Balance Sheet'!$D$10</definedName>
    <definedName name="BAL_other_current_liabilities_curr">'Balance Sheet'!$G$9</definedName>
    <definedName name="BAL_other_current_liabilities_prior">'Balance Sheet'!$H$9</definedName>
    <definedName name="BAL_other_long_term_liabilities_curr">'Balance Sheet'!$G$13</definedName>
    <definedName name="BAL_other_long_term_liabilities_prior">'Balance Sheet'!$H$13</definedName>
    <definedName name="BAL_ppe_gross_curr">'Balance Sheet'!$C$14</definedName>
    <definedName name="BAL_ppe_gross_prior">'Balance Sheet'!$D$14</definedName>
    <definedName name="BAL_receivables_curr">'Balance Sheet'!$C$8</definedName>
    <definedName name="BAL_receivables_prior">'Balance Sheet'!$D$8</definedName>
    <definedName name="BAL_retained_earnings_curr">'Balance Sheet'!$G$19</definedName>
    <definedName name="BAL_retained_earnings_prior">'Balance Sheet'!$H$19</definedName>
    <definedName name="CASH_investments">'Cash Flow Statement'!$C$22</definedName>
    <definedName name="CASH_operating">'Cash Flow Statement'!$C$16</definedName>
    <definedName name="cost_capital">Ratios!$C$10</definedName>
    <definedName name="currentYear_after_tax_operating_income">Ratios!$C$22</definedName>
    <definedName name="currentYear_assets_current">Ratios!$C$26</definedName>
    <definedName name="currentYear_assets_total">Ratios!$C$31</definedName>
    <definedName name="currentYear_cash_marketable_securities">Ratios!$C$25</definedName>
    <definedName name="currentYear_cost_goods_sold_daily">Ratios!$C$28</definedName>
    <definedName name="currentYear_daily_sales_average">Ratios!$C$23</definedName>
    <definedName name="currentYear_debt_long_term">Ratios!$C$29</definedName>
    <definedName name="currentYear_equity">Ratios!$C$24</definedName>
    <definedName name="currentYear_liabilities_current">Ratios!$C$27</definedName>
    <definedName name="currentYear_liabilities_total">Ratios!$C$33</definedName>
    <definedName name="currentYear_total_capitalization">Ratios!$C$32</definedName>
    <definedName name="currentYear_working_capital_net">Ratios!$C$30</definedName>
    <definedName name="INC_addition_retained_earnings">'Income Statement'!$C$19</definedName>
    <definedName name="INC_cost_goods_sold">'Income Statement'!$C$7</definedName>
    <definedName name="INC_depreciation">'Income Statement'!$C$9</definedName>
    <definedName name="INC_dividends">'Income Statement'!$C$18</definedName>
    <definedName name="INC_ebit">'Income Statement'!$C$10</definedName>
    <definedName name="INC_interest_expense">'Income Statement'!$C$12</definedName>
    <definedName name="INC_net">'Income Statement'!$C$15</definedName>
    <definedName name="INC_other_income">'Income Statement'!$C$11</definedName>
    <definedName name="INC_sales">'Income Statement'!$C$6</definedName>
    <definedName name="INC_sga">'Income Statement'!$C$8</definedName>
    <definedName name="INC_taxable_income">'Income Statement'!$C$13</definedName>
    <definedName name="INC_taxes">'Income Statement'!$C$14</definedName>
    <definedName name="market_capitalization">Ratios!$C$12</definedName>
    <definedName name="RATIO_asset_turnover">Ratios!$C$54</definedName>
    <definedName name="RATIO_debt_burden">Ratios!$C$67</definedName>
    <definedName name="RATIO_leverage">Ratios!$C$68</definedName>
    <definedName name="RATIO_operating_profit_margin">Ratios!$C$60</definedName>
    <definedName name="share_price">Ratios!$C$8</definedName>
    <definedName name="shares_outstanding">Ratios!$C$9</definedName>
    <definedName name="startYear_equity">Ratios!$C$15</definedName>
    <definedName name="startYear_inventory">Ratios!$C$16</definedName>
    <definedName name="startYear_receivables">Ratios!$C$17</definedName>
    <definedName name="startYear_total_assets">Ratios!$C$18</definedName>
    <definedName name="startYear_total_capitalization">Ratios!$C$19</definedName>
    <definedName name="tax_rate">Ratios!$C$11</definedName>
    <definedName name="yearCurrent">Ratios!$C$6</definedName>
    <definedName name="yearStart">Ratios!$C$7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30" i="4" l="1"/>
  <c r="C22" i="4"/>
  <c r="C15" i="4"/>
  <c r="C8" i="4"/>
  <c r="D18" i="3"/>
  <c r="D14" i="3"/>
  <c r="D12" i="3"/>
  <c r="D11" i="3"/>
  <c r="C10" i="3"/>
  <c r="C13" i="3" s="1"/>
  <c r="D9" i="3"/>
  <c r="D8" i="3"/>
  <c r="D7" i="3"/>
  <c r="H20" i="2"/>
  <c r="G20" i="2"/>
  <c r="D16" i="2"/>
  <c r="C16" i="2"/>
  <c r="D11" i="2"/>
  <c r="D23" i="2" s="1"/>
  <c r="C18" i="5" s="1"/>
  <c r="C11" i="2"/>
  <c r="C30" i="5" s="1"/>
  <c r="H10" i="2"/>
  <c r="H15" i="2" s="1"/>
  <c r="H23" i="2" s="1"/>
  <c r="G10" i="2"/>
  <c r="G15" i="2" s="1"/>
  <c r="F75" i="5"/>
  <c r="C38" i="5"/>
  <c r="C36" i="5"/>
  <c r="C32" i="5"/>
  <c r="C29" i="5"/>
  <c r="C28" i="5"/>
  <c r="C25" i="5"/>
  <c r="C24" i="5"/>
  <c r="C23" i="5"/>
  <c r="C19" i="5"/>
  <c r="C17" i="5"/>
  <c r="C16" i="5"/>
  <c r="C15" i="5"/>
  <c r="C12" i="5"/>
  <c r="C7" i="5"/>
  <c r="D13" i="3" l="1"/>
  <c r="C15" i="3"/>
  <c r="C33" i="5"/>
  <c r="G23" i="2"/>
  <c r="D10" i="3"/>
  <c r="C26" i="5"/>
  <c r="C27" i="5"/>
  <c r="C23" i="2"/>
  <c r="C31" i="5" s="1"/>
  <c r="C37" i="5" s="1"/>
  <c r="C7" i="4" l="1"/>
  <c r="C16" i="4" s="1"/>
  <c r="C32" i="4" s="1"/>
  <c r="C19" i="3"/>
  <c r="D19" i="3" s="1"/>
  <c r="D15" i="3"/>
  <c r="C22" i="5"/>
</calcChain>
</file>

<file path=xl/sharedStrings.xml><?xml version="1.0" encoding="utf-8"?>
<sst xmlns="http://schemas.openxmlformats.org/spreadsheetml/2006/main" count="337" uniqueCount="322">
  <si>
    <t>Ratios &amp; Derived Inputs</t>
  </si>
  <si>
    <t>Enter the four assumptions at top; all ratios populate automatically.</t>
  </si>
  <si>
    <t>Metric</t>
  </si>
  <si>
    <t>Input</t>
  </si>
  <si>
    <t>Named Range Formula</t>
  </si>
  <si>
    <t>Named Range</t>
  </si>
  <si>
    <t>Current fiscal year</t>
  </si>
  <si>
    <t>yearCurrent</t>
  </si>
  <si>
    <t>Start of year (prior)</t>
  </si>
  <si>
    <t>yearCurrent - 1</t>
  </si>
  <si>
    <t>yearStart</t>
  </si>
  <si>
    <t>Share price</t>
  </si>
  <si>
    <t>share_price</t>
  </si>
  <si>
    <t>Shares outstanding (M)</t>
  </si>
  <si>
    <t>shares_outstanding</t>
  </si>
  <si>
    <t>Cost of capital</t>
  </si>
  <si>
    <t>cost_capital</t>
  </si>
  <si>
    <t>Tax rate</t>
  </si>
  <si>
    <t>tax_rate</t>
  </si>
  <si>
    <t>Market capitalization</t>
  </si>
  <si>
    <t>share_price × shares_outstanding</t>
  </si>
  <si>
    <t>market_capitalization</t>
  </si>
  <si>
    <t>── Start of Year (Prior-Year Balance Sheet) ──</t>
  </si>
  <si>
    <t>Equity (start of year)</t>
  </si>
  <si>
    <t>BAL_equity_shareholders_prior</t>
  </si>
  <si>
    <t>startYear_equity</t>
  </si>
  <si>
    <t>Inventories (start of year)</t>
  </si>
  <si>
    <t>BAL_inventories_prior</t>
  </si>
  <si>
    <t>startYear_inventory</t>
  </si>
  <si>
    <t>Receivables (start of year)</t>
  </si>
  <si>
    <t>BAL_receivables_prior</t>
  </si>
  <si>
    <t>startYear_receivables</t>
  </si>
  <si>
    <t>Total assets (start of year)</t>
  </si>
  <si>
    <t>BAL_assets_total_prior</t>
  </si>
  <si>
    <t>startYear_total_assets</t>
  </si>
  <si>
    <t>Total capitalization (start of year)</t>
  </si>
  <si>
    <t>BAL_debt_long_term_prior + BAL_equity_shareholders_prior</t>
  </si>
  <si>
    <t>startYear_total_capitalization</t>
  </si>
  <si>
    <t>── Current Year (Derived) ──</t>
  </si>
  <si>
    <t>After-tax operating income</t>
  </si>
  <si>
    <t>INC_net + (1 − tax_rate) × INC_interest_expense</t>
  </si>
  <si>
    <t>currentYear_after_tax_operating_income</t>
  </si>
  <si>
    <t>Average daily sales</t>
  </si>
  <si>
    <t>INC_sales / 365</t>
  </si>
  <si>
    <t>currentYear_daily_sales_average</t>
  </si>
  <si>
    <t>Book value of equity</t>
  </si>
  <si>
    <t>BAL_equity_shareholders_curr</t>
  </si>
  <si>
    <t>currentYear_equity</t>
  </si>
  <si>
    <t>Cash + Marketable securities</t>
  </si>
  <si>
    <t>BAL_cash_marketable_securities_curr</t>
  </si>
  <si>
    <t>currentYear_cash_marketable_securities</t>
  </si>
  <si>
    <t>Current assets</t>
  </si>
  <si>
    <t>BAL_assets_current_curr</t>
  </si>
  <si>
    <t>currentYear_assets_current</t>
  </si>
  <si>
    <t>Current liabilities</t>
  </si>
  <si>
    <t>BAL_liabilities_current_curr</t>
  </si>
  <si>
    <t>currentYear_liabilities_current</t>
  </si>
  <si>
    <t>Daily COGS</t>
  </si>
  <si>
    <t>INC_cost_goods_sold / 365</t>
  </si>
  <si>
    <t>currentYear_cost_goods_sold_daily</t>
  </si>
  <si>
    <t>Long-term debt</t>
  </si>
  <si>
    <t>BAL_debt_long_term_curr</t>
  </si>
  <si>
    <t>currentYear_debt_long_term</t>
  </si>
  <si>
    <t>Net working capital</t>
  </si>
  <si>
    <t>BAL_assets_current_curr − BAL_liabilities_current_curr</t>
  </si>
  <si>
    <t>currentYear_working_capital_net</t>
  </si>
  <si>
    <t>Total assets</t>
  </si>
  <si>
    <t>BAL_assets_total_curr</t>
  </si>
  <si>
    <t>currentYear_assets_total</t>
  </si>
  <si>
    <t>Total capitalization</t>
  </si>
  <si>
    <t>currentYear_debt_long_term + currentYear_equity</t>
  </si>
  <si>
    <t>currentYear_total_capitalization</t>
  </si>
  <si>
    <t>Total liabilities</t>
  </si>
  <si>
    <t>BAL_liabilities_total_curr</t>
  </si>
  <si>
    <t>currentYear_liabilities_total</t>
  </si>
  <si>
    <t>── Mixed Year (Averages) ──</t>
  </si>
  <si>
    <t>Average equity</t>
  </si>
  <si>
    <t>AVERAGE(startYear_equity, currentYear_equity)</t>
  </si>
  <si>
    <t>avg_equity</t>
  </si>
  <si>
    <t>Average total assets</t>
  </si>
  <si>
    <t>AVERAGE(startYear_total_assets, currentYear_assets_total)</t>
  </si>
  <si>
    <t>avg_total_assets</t>
  </si>
  <si>
    <t>Average total capitalization</t>
  </si>
  <si>
    <t>AVERAGE(startYear_total_capitalization, currentYear_total_capitalization)</t>
  </si>
  <si>
    <t>avg_total_capitalization</t>
  </si>
  <si>
    <t>Ratio</t>
  </si>
  <si>
    <t>Output</t>
  </si>
  <si>
    <t>Named Range Formula (reference)</t>
  </si>
  <si>
    <t>Check</t>
  </si>
  <si>
    <t>Performance</t>
  </si>
  <si>
    <t>Market value added (MVA)</t>
  </si>
  <si>
    <t>market_capitalization − currentYear_equity</t>
  </si>
  <si>
    <t>Market-to-book ratio</t>
  </si>
  <si>
    <t>market_capitalization / currentYear_equity</t>
  </si>
  <si>
    <t>Economic value added (EVA)</t>
  </si>
  <si>
    <t>currentYear_after_tax_operating_income − (cost_capital × startYear_total_capitalization)</t>
  </si>
  <si>
    <t>Profitability</t>
  </si>
  <si>
    <t>Return on assets (ROA)</t>
  </si>
  <si>
    <t>currentYear_after_tax_operating_income / startYear_total_assets</t>
  </si>
  <si>
    <t>Return on capital (ROC)</t>
  </si>
  <si>
    <t>currentYear_after_tax_operating_income / startYear_total_capitalization</t>
  </si>
  <si>
    <t>Return on equity (ROE)</t>
  </si>
  <si>
    <t>INC_net / startYear_equity</t>
  </si>
  <si>
    <t>Return on assets (ROA) [avg]</t>
  </si>
  <si>
    <t>currentYear_after_tax_operating_income / avg_total_assets</t>
  </si>
  <si>
    <t>Return on capital (ROC) [avg]</t>
  </si>
  <si>
    <t>currentYear_after_tax_operating_income / avg_total_capitalization</t>
  </si>
  <si>
    <t>Return on equity (ROE) [avg]</t>
  </si>
  <si>
    <t>INC_net / avg_equity</t>
  </si>
  <si>
    <t>Efficiency</t>
  </si>
  <si>
    <t>Asset turnover</t>
  </si>
  <si>
    <t>INC_sales / startYear_total_assets</t>
  </si>
  <si>
    <t>RATIO_asset_turnover</t>
  </si>
  <si>
    <t>Receivables turnover</t>
  </si>
  <si>
    <t>INC_sales / startYear_receivables</t>
  </si>
  <si>
    <t>Average collection period (days)</t>
  </si>
  <si>
    <t>startYear_receivables / currentYear_daily_sales_average</t>
  </si>
  <si>
    <t>Inventory turnover</t>
  </si>
  <si>
    <t>INC_cost_goods_sold / startYear_inventory</t>
  </si>
  <si>
    <t>Days in inventory</t>
  </si>
  <si>
    <t>startYear_inventory / currentYear_cost_goods_sold_daily</t>
  </si>
  <si>
    <t>Profit margin</t>
  </si>
  <si>
    <t>INC_net / INC_sales</t>
  </si>
  <si>
    <t>Operating profit margin</t>
  </si>
  <si>
    <t>currentYear_after_tax_operating_income / INC_sales</t>
  </si>
  <si>
    <t>RATIO_operating_profit_margin</t>
  </si>
  <si>
    <t>Leverage</t>
  </si>
  <si>
    <t>Long-term debt ratio</t>
  </si>
  <si>
    <t>currentYear_debt_long_term / (currentYear_debt_long_term + currentYear_equity)</t>
  </si>
  <si>
    <t>Long-term debt-equity ratio</t>
  </si>
  <si>
    <t>currentYear_debt_long_term / currentYear_equity</t>
  </si>
  <si>
    <t>Total debt ratio</t>
  </si>
  <si>
    <t>currentYear_liabilities_total / currentYear_assets_total</t>
  </si>
  <si>
    <t>Times interest earned</t>
  </si>
  <si>
    <t>INC_ebit / INC_interest_expense</t>
  </si>
  <si>
    <t>Cash coverage ratio</t>
  </si>
  <si>
    <t>(INC_ebit + INC_depreciation) / INC_interest_expense</t>
  </si>
  <si>
    <t>Debt burden</t>
  </si>
  <si>
    <t>INC_net / currentYear_after_tax_operating_income</t>
  </si>
  <si>
    <t>RATIO_debt_burden</t>
  </si>
  <si>
    <t>Leverage ratio</t>
  </si>
  <si>
    <t>currentYear_assets_total / currentYear_equity</t>
  </si>
  <si>
    <t>RATIO_leverage</t>
  </si>
  <si>
    <t>Liquidity</t>
  </si>
  <si>
    <t>Net working capital to assets</t>
  </si>
  <si>
    <t>currentYear_working_capital_net / currentYear_assets_total</t>
  </si>
  <si>
    <t>Current ratio</t>
  </si>
  <si>
    <t>currentYear_assets_current / currentYear_liabilities_current</t>
  </si>
  <si>
    <t>Quick ratio</t>
  </si>
  <si>
    <t>(currentYear_cash_marketable_securities + BAL_receivables_curr) / currentYear_liabilities_current</t>
  </si>
  <si>
    <t>Cash ratio</t>
  </si>
  <si>
    <t>currentYear_cash_marketable_securities / currentYear_liabilities_current</t>
  </si>
  <si>
    <t>Du Pont System</t>
  </si>
  <si>
    <t>Return on assets (Du Pont)</t>
  </si>
  <si>
    <t>RATIO_asset_turnover × RATIO_operating_profit_margin</t>
  </si>
  <si>
    <t>Return on equity (Du Pont)</t>
  </si>
  <si>
    <t>RATIO_leverage × RATIO_asset_turnover × RATIO_operating_profit_margin × RATIO_debt_burden</t>
  </si>
  <si>
    <t>UNIVERSITY OF HAWAIʻI AT MĀNOA · SHIDLER COLLEGE OF BUSINESS</t>
  </si>
  <si>
    <t>BUS-629 International Corporate Finance · Vietnam EMBA</t>
  </si>
  <si>
    <t>Performance Ratios — Excel Template</t>
  </si>
  <si>
    <t>How to Use This Template</t>
  </si>
  <si>
    <t>1.</t>
  </si>
  <si>
    <t>Enter prior-year and current-year balance-sheet figures on the Balance Sheet tab (Stage 3 task).</t>
  </si>
  <si>
    <t>2.</t>
  </si>
  <si>
    <t>Enter current-year income-statement figures on the Income Statement tab (Stage 3 task).</t>
  </si>
  <si>
    <t>3.</t>
  </si>
  <si>
    <t>Enter current-year cash-flow items on the Cash Flow Statement tab (Stage 3 task).</t>
  </si>
  <si>
    <t>4.</t>
  </si>
  <si>
    <t>On the Ratios tab, enter the four analyst assumptions at top: share price, shares outstanding, cost of capital, tax rate.</t>
  </si>
  <si>
    <t>5.</t>
  </si>
  <si>
    <t>Ratio outputs populate automatically in the Outputs section of the Ratios tab — no manual ratio computation required.</t>
  </si>
  <si>
    <t>6.</t>
  </si>
  <si>
    <t>Document company metadata, data source, and AI usage on the Notes tab.</t>
  </si>
  <si>
    <t>Color Key</t>
  </si>
  <si>
    <t>Style</t>
  </si>
  <si>
    <t>Meaning</t>
  </si>
  <si>
    <t>Sample</t>
  </si>
  <si>
    <t>Yellow background — DATA INPUTS. Numbers pulled from 10-K / financial statements. Overwrite with your company's figures.</t>
  </si>
  <si>
    <t>12.3%</t>
  </si>
  <si>
    <t>Light-blue background + blue text — ASSUMPTIONS. Analyst inputs: share price, shares outstanding, WACC, tax rate, fiscal years.</t>
  </si>
  <si>
    <t>f(x)</t>
  </si>
  <si>
    <t>Green text — FORMULAS. Cross-sheet references and derived calculations. Do not overwrite.</t>
  </si>
  <si>
    <t>1.23x</t>
  </si>
  <si>
    <t>Gray background — RATIO OUTPUTS. Computed values in the Ratios tab. Do not overwrite.</t>
  </si>
  <si>
    <t>Named-Range Convention</t>
  </si>
  <si>
    <t>Prefix / Pattern</t>
  </si>
  <si>
    <t>BAL_[item]_[yr]</t>
  </si>
  <si>
    <t>Balance-sheet line items, suffixed with fiscal year (e.g., BAL_assets_total_2024).</t>
  </si>
  <si>
    <t>INC_[item]</t>
  </si>
  <si>
    <t>Income-statement items (e.g., INC_sales, INC_ebit, INC_net).</t>
  </si>
  <si>
    <t>CASH_[item]</t>
  </si>
  <si>
    <t>Cash-flow items (e.g., CASH_operating).</t>
  </si>
  <si>
    <t>share_price, shares_outstanding, cost_capital, tax_rate</t>
  </si>
  <si>
    <t>Analyst assumptions (no prefix).</t>
  </si>
  <si>
    <t>startYear_[item]</t>
  </si>
  <si>
    <t>Alias for prior-year balance (e.g., startYear_equity ≡ BAL_equity_shareholders_prior).</t>
  </si>
  <si>
    <t>currentYear_[item]</t>
  </si>
  <si>
    <t>Alias for current-year balance or derived current-year figure.</t>
  </si>
  <si>
    <t>avg_[item]</t>
  </si>
  <si>
    <t>Mean of start-of-year and current-year (e.g., avg_equity).</t>
  </si>
  <si>
    <t>RATIO_[name]</t>
  </si>
  <si>
    <t>Key ratios reused in Du Pont decomposition (asset_turnover, operating_profit_margin, leverage, debt_burden).</t>
  </si>
  <si>
    <t>Companion Specification</t>
  </si>
  <si>
    <t>See:</t>
  </si>
  <si>
    <t>docs/templates/spec-template.md (repo-level)</t>
  </si>
  <si>
    <t>Course:</t>
  </si>
  <si>
    <t>courses/BUS-629-VEMBA-International-Corporate-Finance/</t>
  </si>
  <si>
    <t>Prepared per UH Mānoa brand standards (docs/_branding/design.json). Primary green #024731 · Open Sans typography · ADA-compliant contrast.</t>
  </si>
  <si>
    <t>Balance Sheet</t>
  </si>
  <si>
    <t>All figures in $millions unless otherwise noted</t>
  </si>
  <si>
    <t>ASSETS</t>
  </si>
  <si>
    <t>FY Current</t>
  </si>
  <si>
    <t>FY Prior</t>
  </si>
  <si>
    <t>LIABILITIES &amp; EQUITY</t>
  </si>
  <si>
    <t>Current Assets</t>
  </si>
  <si>
    <t>Current Liabilities</t>
  </si>
  <si>
    <t>Cash and marketable securities</t>
  </si>
  <si>
    <t>Debt due for repayment</t>
  </si>
  <si>
    <t>Receivables</t>
  </si>
  <si>
    <t>Accounts payable</t>
  </si>
  <si>
    <t>Inventories</t>
  </si>
  <si>
    <t>Other current liabilities</t>
  </si>
  <si>
    <t>Other current assets</t>
  </si>
  <si>
    <t xml:space="preserve">   Total current liabilities</t>
  </si>
  <si>
    <t xml:space="preserve">   Total current assets</t>
  </si>
  <si>
    <t>Fixed Assets</t>
  </si>
  <si>
    <t>Other long-term liabilities</t>
  </si>
  <si>
    <t>Property, plant, and equipment</t>
  </si>
  <si>
    <t>Less accumulated depreciation</t>
  </si>
  <si>
    <t>Total Liabilities</t>
  </si>
  <si>
    <t xml:space="preserve">   Net tangible fixed assets</t>
  </si>
  <si>
    <t>SHAREHOLDERS' EQUITY</t>
  </si>
  <si>
    <t>Other Assets</t>
  </si>
  <si>
    <t>Common stock and paid-in capital</t>
  </si>
  <si>
    <t>Intangible assets (goodwill)</t>
  </si>
  <si>
    <t>Retained earnings</t>
  </si>
  <si>
    <t>Other assets</t>
  </si>
  <si>
    <t xml:space="preserve">   Total shareholders' equity</t>
  </si>
  <si>
    <t>Total Assets</t>
  </si>
  <si>
    <t>Total Liabilities + Equity</t>
  </si>
  <si>
    <t>Income Statement</t>
  </si>
  <si>
    <t>Current fiscal year · figures in $millions</t>
  </si>
  <si>
    <t>Line Item</t>
  </si>
  <si>
    <t>Amount</t>
  </si>
  <si>
    <t>% of Sales</t>
  </si>
  <si>
    <t>Net sales</t>
  </si>
  <si>
    <t>less Cost of goods sold</t>
  </si>
  <si>
    <t>less Selling, general &amp; administrative expenses</t>
  </si>
  <si>
    <t>less Depreciation</t>
  </si>
  <si>
    <t xml:space="preserve">   Earnings before interest and taxes (EBIT)</t>
  </si>
  <si>
    <t>plus Other income</t>
  </si>
  <si>
    <t>less Interest expense</t>
  </si>
  <si>
    <t xml:space="preserve">   Taxable income</t>
  </si>
  <si>
    <t>less Taxes</t>
  </si>
  <si>
    <t xml:space="preserve">   Net income</t>
  </si>
  <si>
    <t>Allocation of net income</t>
  </si>
  <si>
    <t xml:space="preserve">   Dividends</t>
  </si>
  <si>
    <t xml:space="preserve">   Addition to retained earnings</t>
  </si>
  <si>
    <t>Cash Flow Statement</t>
  </si>
  <si>
    <t>Source / Notes</t>
  </si>
  <si>
    <t>Operations:</t>
  </si>
  <si>
    <t>Net income</t>
  </si>
  <si>
    <t>[Income Statement]</t>
  </si>
  <si>
    <t>plus Depreciation</t>
  </si>
  <si>
    <t xml:space="preserve">   plus Changes in working capital items</t>
  </si>
  <si>
    <t xml:space="preserve">      Decrease (increase) in accounts receivable</t>
  </si>
  <si>
    <t>[Balance Sheet]</t>
  </si>
  <si>
    <t xml:space="preserve">      Decrease (increase) in inventories</t>
  </si>
  <si>
    <t xml:space="preserve">      Decrease (increase) in other current assets</t>
  </si>
  <si>
    <t xml:space="preserve">      Increase (decrease) in accounts payable</t>
  </si>
  <si>
    <t xml:space="preserve">      Increase (decrease) in other current liabilities</t>
  </si>
  <si>
    <t xml:space="preserve">         Total change in working capital</t>
  </si>
  <si>
    <t xml:space="preserve">   Cash provided by operations</t>
  </si>
  <si>
    <t>Investments:</t>
  </si>
  <si>
    <t>Capital expenditures</t>
  </si>
  <si>
    <t>plus Sales (acquisitions) of long-term assets</t>
  </si>
  <si>
    <t>plus Other investing activities</t>
  </si>
  <si>
    <t xml:space="preserve">   Cash provided by (used for) investments</t>
  </si>
  <si>
    <t>Financing activities:</t>
  </si>
  <si>
    <t>Increase (decrease) in short-term debt</t>
  </si>
  <si>
    <t>plus Increase (decrease) in long-term debt</t>
  </si>
  <si>
    <t>plus Dividends paid</t>
  </si>
  <si>
    <t>plus Issues (repurchases) of stock</t>
  </si>
  <si>
    <t>plus Other</t>
  </si>
  <si>
    <t xml:space="preserve">   Cash provided by (used for) financing</t>
  </si>
  <si>
    <t>Net increase (decrease) in cash</t>
  </si>
  <si>
    <t>Notes &amp; Assumptions</t>
  </si>
  <si>
    <t>Company</t>
  </si>
  <si>
    <t>[Your Company Name]</t>
  </si>
  <si>
    <t>Ticker</t>
  </si>
  <si>
    <t>[TICKER]</t>
  </si>
  <si>
    <t>Industry</t>
  </si>
  <si>
    <t>[Industry]</t>
  </si>
  <si>
    <t>Fiscal Year (current)</t>
  </si>
  <si>
    <t>[FYYYYY]</t>
  </si>
  <si>
    <t>Fiscal Year (prior)</t>
  </si>
  <si>
    <t>Data Source</t>
  </si>
  <si>
    <t>[SEC EDGAR 10-K URL / Yahoo Finance / etc.]</t>
  </si>
  <si>
    <t>Units</t>
  </si>
  <si>
    <t>Tax Rate</t>
  </si>
  <si>
    <t>[Statutory 21% / Effective rate from financials — and why]</t>
  </si>
  <si>
    <t>Cost of Capital</t>
  </si>
  <si>
    <t>[X.X% — source/method, e.g., CAPM, class working WACC]</t>
  </si>
  <si>
    <t>Share Price</t>
  </si>
  <si>
    <t>[FY-end closing price]</t>
  </si>
  <si>
    <t>Shares Outstanding</t>
  </si>
  <si>
    <t>[M shares — diluted weighted avg]</t>
  </si>
  <si>
    <t>BUS-629 Project Use</t>
  </si>
  <si>
    <t>Template for the Accounting &amp; Performance Ratios project</t>
  </si>
  <si>
    <t>Stage 2 Task</t>
  </si>
  <si>
    <t>Upload your copy of this template to your repo at models/templates/.</t>
  </si>
  <si>
    <t>Stage 3 Task</t>
  </si>
  <si>
    <t>Populate Balance Sheet, Income Statement, and Cash Flow with your selected company’s figures; enter the four assumptions on the Ratios tab; then compute all ratios in column C using the named-range formulas shown in column D.</t>
  </si>
  <si>
    <t>Stage 4 Task</t>
  </si>
  <si>
    <t>Use an LLM to draft a technical specification (spec-template.md) covering this model and the analysis it should produce.</t>
  </si>
  <si>
    <t>AI Usage</t>
  </si>
  <si>
    <t>Execute spec with LLM; evaluate output; ship final analysis as part of polished portfolio repo.</t>
  </si>
  <si>
    <t>Self-checks</t>
  </si>
  <si>
    <t>Du Pont ROA</t>
  </si>
  <si>
    <t>Du Pont ROA (Ratios!C75) is mathematically identical to direct ROA (Ratios!C47). The inline check on Ratios!F75 confirms the match — investigate any discrepancy before submitting.</t>
  </si>
  <si>
    <t>Du Pont ROE</t>
  </si>
  <si>
    <t>Du Pont ROE (Ratios!C76) will not exactly equal direct ROE (Ratios!C49) in this model: the leverage component uses current-year balances while asset turnover uses prior-year assets. Explain this time-mismatch in your Stage 4 memo.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</si>
</sst>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164" formatCode="#,##0;\(#,##0\);&quot;—&quot;"/>
    <numFmt numFmtId="165" formatCode="0.0%"/>
    <numFmt numFmtId="166" formatCode="0.0%;\(0.0%\);&quot;—&quot;"/>
    <numFmt numFmtId="167" formatCode="&quot;$&quot;#,##0.00"/>
    <numFmt numFmtId="168" formatCode="#,##0.00;\(#,##0.00\);&quot;—&quot;"/>
    <numFmt numFmtId="169" formatCode="0.00&quot;x&quot;"/>
    <numFmt numFmtId="170" formatCode="0.0&quot; days&quot;"/>
    <numFmt numFmtId="171" formatCode="0.000"/>
  </numFmts>
  <fonts count="19" x14ac:knownFonts="1">
    <font>
      <sz val="11"/>
      <color theme="1"/>
      <name val="Calibri"/>
      <family val="2"/>
      <scheme val="minor"/>
    </font>
    <font>
      <b/>
      <sz val="9"/>
      <color rgb="FF024731"/>
      <name val="Open Sans"/>
    </font>
    <font>
      <b/>
      <sz val="18"/>
      <color rgb="FF000000"/>
      <name val="Open Sans"/>
    </font>
    <font>
      <sz val="12"/>
      <color rgb="FF525252"/>
      <name val="Open Sans"/>
    </font>
    <font>
      <b/>
      <sz val="13"/>
      <color rgb="FF024731"/>
      <name val="Open Sans"/>
    </font>
    <font>
      <b/>
      <sz val="10"/>
      <color rgb="FF024731"/>
      <name val="Open Sans"/>
    </font>
    <font>
      <sz val="10"/>
      <color rgb="FF000000"/>
      <name val="Open Sans"/>
    </font>
    <font>
      <b/>
      <sz val="11"/>
      <color rgb="FFFFFFFF"/>
      <name val="Open Sans"/>
    </font>
    <font>
      <b/>
      <sz val="10"/>
      <color rgb="FF0000FF"/>
      <name val="Open Sans"/>
    </font>
    <font>
      <sz val="10"/>
      <color rgb="FF008000"/>
      <name val="Open Sans"/>
    </font>
    <font>
      <b/>
      <sz val="10"/>
      <color rgb="FF000000"/>
      <name val="Open Sans"/>
    </font>
    <font>
      <sz val="10"/>
      <color rgb="FF525252"/>
      <name val="Consolas"/>
      <family val="3"/>
    </font>
    <font>
      <i/>
      <sz val="8"/>
      <color rgb="FF525252"/>
      <name val="Open Sans"/>
    </font>
    <font>
      <b/>
      <sz val="16"/>
      <color rgb="FF024731"/>
      <name val="Open Sans"/>
    </font>
    <font>
      <i/>
      <sz val="9"/>
      <color rgb="FF525252"/>
      <name val="Open Sans"/>
    </font>
    <font>
      <i/>
      <sz val="10"/>
      <color rgb="FF525252"/>
      <name val="Open Sans"/>
    </font>
    <font>
      <sz val="9"/>
      <color rgb="FF525252"/>
      <name val="Consolas"/>
      <family val="3"/>
    </font>
    <font>
      <b/>
      <sz val="11"/>
      <color rgb="FF024731"/>
      <name val="Open Sans"/>
    </font>
    <font>
      <sz val="10"/>
      <color rgb="FF024731"/>
      <name val="Open Sans"/>
    </font>
  </fonts>
  <fills count="8">
    <fill>
      <patternFill patternType="none"/>
    </fill>
    <fill>
      <patternFill patternType="gray125"/>
    </fill>
    <fill>
      <patternFill patternType="solid">
        <fgColor rgb="FF024731"/>
        <bgColor rgb="FF024731"/>
      </patternFill>
    </fill>
    <fill>
      <patternFill patternType="solid">
        <fgColor rgb="FFB2B2B2"/>
        <bgColor rgb="FFB2B2B2"/>
      </patternFill>
    </fill>
    <fill>
      <patternFill patternType="solid">
        <fgColor rgb="FFFFFFCC"/>
        <bgColor rgb="FFFFFFCC"/>
      </patternFill>
    </fill>
    <fill>
      <patternFill patternType="solid">
        <fgColor rgb="FFDCE6F1"/>
        <bgColor rgb="FFDCE6F1"/>
      </patternFill>
    </fill>
    <fill>
      <patternFill patternType="solid">
        <fgColor rgb="FFF2F2F2"/>
        <bgColor rgb="FFF2F2F2"/>
      </patternFill>
    </fill>
    <fill>
      <patternFill patternType="solid">
        <fgColor rgb="FFE6F2EF"/>
        <bgColor rgb="FFE6F2EF"/>
      </patternFill>
    </fill>
  </fills>
  <borders count="2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2" borderId="0" xfId="0" applyFill="1"/>
    <xf numFmtId="0" fontId="0" fillId="3" borderId="0" xfId="0" applyFill="1"/>
    <xf numFmtId="0" fontId="5" fillId="0" borderId="0" xfId="0" applyFont="1" applyAlignment="1">
      <alignment horizontal="right" vertical="top"/>
    </xf>
    <xf numFmtId="0" fontId="6" fillId="0" borderId="0" xfId="0" applyFont="1" applyAlignment="1">
      <alignment vertical="top" wrapText="1"/>
    </xf>
    <xf numFmtId="0" fontId="7" fillId="2" borderId="0" xfId="0" applyFont="1" applyFill="1"/>
    <xf numFmtId="0" fontId="6" fillId="4" borderId="1" xfId="0" applyFont="1" applyFill="1" applyBorder="1" applyAlignment="1">
      <alignment horizontal="center"/>
    </xf>
    <xf numFmtId="0" fontId="6" fillId="0" borderId="1" xfId="0" applyFont="1" applyBorder="1" applyAlignment="1">
      <alignment vertical="center" wrapText="1"/>
    </xf>
    <xf numFmtId="0" fontId="8" fillId="5" borderId="1" xfId="0" applyFont="1" applyFill="1" applyBorder="1" applyAlignment="1">
      <alignment horizontal="center"/>
    </xf>
    <xf numFmtId="0" fontId="9" fillId="0" borderId="1" xfId="0" applyFont="1" applyBorder="1" applyAlignment="1">
      <alignment horizontal="center"/>
    </xf>
    <xf numFmtId="0" fontId="10" fillId="6" borderId="1" xfId="0" applyFont="1" applyFill="1" applyBorder="1" applyAlignment="1">
      <alignment horizontal="center"/>
    </xf>
    <xf numFmtId="0" fontId="11" fillId="0" borderId="1" xfId="0" applyFont="1" applyBorder="1" applyAlignment="1">
      <alignment vertical="center" wrapText="1"/>
    </xf>
    <xf numFmtId="0" fontId="6" fillId="0" borderId="0" xfId="0" applyFont="1"/>
    <xf numFmtId="0" fontId="11" fillId="0" borderId="0" xfId="0" applyFont="1"/>
    <xf numFmtId="0" fontId="13" fillId="0" borderId="0" xfId="0" applyFont="1"/>
    <xf numFmtId="0" fontId="14" fillId="0" borderId="0" xfId="0" applyFont="1"/>
    <xf numFmtId="0" fontId="7" fillId="2" borderId="1" xfId="0" applyFont="1" applyFill="1" applyBorder="1" applyAlignment="1">
      <alignment horizontal="left"/>
    </xf>
    <xf numFmtId="0" fontId="7" fillId="2" borderId="1" xfId="0" applyFont="1" applyFill="1" applyBorder="1" applyAlignment="1">
      <alignment horizontal="center"/>
    </xf>
    <xf numFmtId="0" fontId="5" fillId="0" borderId="0" xfId="0" applyFont="1"/>
    <xf numFmtId="164" fontId="6" fillId="4" borderId="1" xfId="0" applyNumberFormat="1" applyFont="1" applyFill="1" applyBorder="1"/>
    <xf numFmtId="0" fontId="10" fillId="0" borderId="0" xfId="0" applyFont="1"/>
    <xf numFmtId="164" fontId="10" fillId="6" borderId="1" xfId="0" applyNumberFormat="1" applyFont="1" applyFill="1" applyBorder="1"/>
    <xf numFmtId="164" fontId="7" fillId="2" borderId="0" xfId="0" applyNumberFormat="1" applyFont="1" applyFill="1"/>
    <xf numFmtId="0" fontId="7" fillId="2" borderId="1" xfId="0" applyFont="1" applyFill="1" applyBorder="1"/>
    <xf numFmtId="165" fontId="9" fillId="0" borderId="0" xfId="0" applyNumberFormat="1" applyFont="1"/>
    <xf numFmtId="166" fontId="9" fillId="0" borderId="0" xfId="0" applyNumberFormat="1" applyFont="1"/>
    <xf numFmtId="166" fontId="7" fillId="2" borderId="0" xfId="0" applyNumberFormat="1" applyFont="1" applyFill="1"/>
    <xf numFmtId="164" fontId="9" fillId="0" borderId="0" xfId="0" applyNumberFormat="1" applyFont="1"/>
    <xf numFmtId="0" fontId="15" fillId="0" borderId="0" xfId="0" applyFont="1"/>
    <xf numFmtId="1" fontId="8" fillId="5" borderId="1" xfId="0" applyNumberFormat="1" applyFont="1" applyFill="1" applyBorder="1"/>
    <xf numFmtId="0" fontId="16" fillId="0" borderId="0" xfId="0" applyFont="1"/>
    <xf numFmtId="1" fontId="9" fillId="0" borderId="1" xfId="0" applyNumberFormat="1" applyFont="1" applyBorder="1"/>
    <xf numFmtId="167" fontId="8" fillId="5" borderId="1" xfId="0" applyNumberFormat="1" applyFont="1" applyFill="1" applyBorder="1"/>
    <xf numFmtId="3" fontId="8" fillId="5" borderId="1" xfId="0" applyNumberFormat="1" applyFont="1" applyFill="1" applyBorder="1"/>
    <xf numFmtId="165" fontId="8" fillId="5" borderId="1" xfId="0" applyNumberFormat="1" applyFont="1" applyFill="1" applyBorder="1"/>
    <xf numFmtId="3" fontId="9" fillId="0" borderId="1" xfId="0" applyNumberFormat="1" applyFont="1" applyBorder="1"/>
    <xf numFmtId="164" fontId="9" fillId="0" borderId="1" xfId="0" applyNumberFormat="1" applyFont="1" applyBorder="1"/>
    <xf numFmtId="168" fontId="9" fillId="0" borderId="1" xfId="0" applyNumberFormat="1" applyFont="1" applyBorder="1"/>
    <xf numFmtId="164" fontId="6" fillId="6" borderId="1" xfId="0" applyNumberFormat="1" applyFont="1" applyFill="1" applyBorder="1" applyAlignment="1">
      <alignment horizontal="right"/>
    </xf>
    <xf numFmtId="169" fontId="6" fillId="6" borderId="1" xfId="0" applyNumberFormat="1" applyFont="1" applyFill="1" applyBorder="1" applyAlignment="1">
      <alignment horizontal="right"/>
    </xf>
    <xf numFmtId="166" fontId="6" fillId="6" borderId="1" xfId="0" applyNumberFormat="1" applyFont="1" applyFill="1" applyBorder="1" applyAlignment="1">
      <alignment horizontal="right"/>
    </xf>
    <xf numFmtId="170" fontId="6" fillId="6" borderId="1" xfId="0" applyNumberFormat="1" applyFont="1" applyFill="1" applyBorder="1" applyAlignment="1">
      <alignment horizontal="right"/>
    </xf>
    <xf numFmtId="171" fontId="6" fillId="6" borderId="1" xfId="0" applyNumberFormat="1" applyFont="1" applyFill="1" applyBorder="1" applyAlignment="1">
      <alignment horizontal="right"/>
    </xf>
    <xf numFmtId="0" fontId="10" fillId="0" borderId="0" xfId="0" applyFont="1" applyAlignment="1">
      <alignment vertical="top"/>
    </xf>
    <xf numFmtId="49" fontId="18" fillId="6" borderId="0" xfId="0" applyNumberFormat="1" applyFont="1" applyFill="1" applyAlignment="1">
      <alignment horizontal="left" vertical="center"/>
    </xf>
    <xf numFmtId="0" fontId="17" fillId="7" borderId="0" xfId="0" applyFont="1" applyFill="1"/>
    <xf numFmtId="0" fontId="0" fillId="0" borderId="0" xfId="0"/>
    <xf numFmtId="0" fontId="3" fillId="0" borderId="0" xfId="0" applyFont="1"/>
    <xf numFmtId="0" fontId="4" fillId="0" borderId="0" xfId="0" applyFont="1"/>
    <xf numFmtId="0" fontId="2" fillId="0" borderId="0" xfId="0" applyFont="1"/>
    <xf numFmtId="0" fontId="12" fillId="0" borderId="0" xfId="0" applyFont="1" applyAlignment="1">
      <alignment wrapText="1"/>
    </xf>
    <xf numFmtId="0" fontId="1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C41"/>
  <sheetViews>
    <sheetView showGridLines="0" tabSelected="1" workbookViewId="0">
      <selection activeCell="B10" sqref="B10"/>
    </sheetView>
  </sheetViews>
  <sheetFormatPr defaultRowHeight="14.5" x14ac:dyDescent="0.35"/>
  <cols>
    <col min="1" max="1" width="2" customWidth="1"/>
    <col min="2" max="2" width="28" customWidth="1"/>
    <col min="3" max="3" width="70" customWidth="1"/>
    <col min="4" max="4" width="2" customWidth="1"/>
  </cols>
  <sheetData>
    <row r="2" spans="2:3" ht="8" customHeight="1" x14ac:dyDescent="0.35">
      <c r="B2" s="1"/>
      <c r="C2" s="1"/>
    </row>
    <row r="4" spans="2:3" x14ac:dyDescent="0.35">
      <c r="B4" s="51" t="s">
        <v>157</v>
      </c>
      <c r="C4" s="46"/>
    </row>
    <row r="5" spans="2:3" ht="26" customHeight="1" x14ac:dyDescent="0.7">
      <c r="B5" s="49" t="s">
        <v>158</v>
      </c>
      <c r="C5" s="46"/>
    </row>
    <row r="6" spans="2:3" ht="18" customHeight="1" x14ac:dyDescent="0.5">
      <c r="B6" s="47" t="s">
        <v>159</v>
      </c>
      <c r="C6" s="46"/>
    </row>
    <row r="7" spans="2:3" ht="4" customHeight="1" x14ac:dyDescent="0.35">
      <c r="B7" s="2"/>
      <c r="C7" s="2"/>
    </row>
    <row r="9" spans="2:3" ht="19.5" customHeight="1" x14ac:dyDescent="0.55000000000000004">
      <c r="B9" s="48" t="s">
        <v>160</v>
      </c>
      <c r="C9" s="46"/>
    </row>
    <row r="10" spans="2:3" ht="18" customHeight="1" x14ac:dyDescent="0.35">
      <c r="B10" s="3" t="s">
        <v>161</v>
      </c>
      <c r="C10" s="4" t="s">
        <v>162</v>
      </c>
    </row>
    <row r="11" spans="2:3" ht="18" customHeight="1" x14ac:dyDescent="0.35">
      <c r="B11" s="3" t="s">
        <v>163</v>
      </c>
      <c r="C11" s="4" t="s">
        <v>164</v>
      </c>
    </row>
    <row r="12" spans="2:3" ht="18" customHeight="1" x14ac:dyDescent="0.35">
      <c r="B12" s="3" t="s">
        <v>165</v>
      </c>
      <c r="C12" s="4" t="s">
        <v>166</v>
      </c>
    </row>
    <row r="13" spans="2:3" ht="18" customHeight="1" x14ac:dyDescent="0.35">
      <c r="B13" s="3" t="s">
        <v>167</v>
      </c>
      <c r="C13" s="4" t="s">
        <v>168</v>
      </c>
    </row>
    <row r="14" spans="2:3" ht="18" customHeight="1" x14ac:dyDescent="0.35">
      <c r="B14" s="3" t="s">
        <v>169</v>
      </c>
      <c r="C14" s="4" t="s">
        <v>170</v>
      </c>
    </row>
    <row r="15" spans="2:3" ht="18" customHeight="1" x14ac:dyDescent="0.35">
      <c r="B15" s="3" t="s">
        <v>171</v>
      </c>
      <c r="C15" s="4" t="s">
        <v>172</v>
      </c>
    </row>
    <row r="17" spans="2:3" ht="19.5" customHeight="1" x14ac:dyDescent="0.55000000000000004">
      <c r="B17" s="48" t="s">
        <v>173</v>
      </c>
      <c r="C17" s="46"/>
    </row>
    <row r="18" spans="2:3" ht="16.5" customHeight="1" x14ac:dyDescent="0.45">
      <c r="B18" s="5" t="s">
        <v>174</v>
      </c>
      <c r="C18" s="5" t="s">
        <v>175</v>
      </c>
    </row>
    <row r="19" spans="2:3" ht="30" customHeight="1" x14ac:dyDescent="0.4">
      <c r="B19" s="6" t="s">
        <v>176</v>
      </c>
      <c r="C19" s="7" t="s">
        <v>177</v>
      </c>
    </row>
    <row r="20" spans="2:3" ht="30" customHeight="1" x14ac:dyDescent="0.4">
      <c r="B20" s="8" t="s">
        <v>178</v>
      </c>
      <c r="C20" s="7" t="s">
        <v>179</v>
      </c>
    </row>
    <row r="21" spans="2:3" ht="30" customHeight="1" x14ac:dyDescent="0.4">
      <c r="B21" s="9" t="s">
        <v>180</v>
      </c>
      <c r="C21" s="7" t="s">
        <v>181</v>
      </c>
    </row>
    <row r="22" spans="2:3" ht="30" customHeight="1" x14ac:dyDescent="0.4">
      <c r="B22" s="10" t="s">
        <v>182</v>
      </c>
      <c r="C22" s="7" t="s">
        <v>183</v>
      </c>
    </row>
    <row r="24" spans="2:3" ht="19.5" customHeight="1" x14ac:dyDescent="0.55000000000000004">
      <c r="B24" s="48" t="s">
        <v>184</v>
      </c>
      <c r="C24" s="46"/>
    </row>
    <row r="25" spans="2:3" ht="16.5" customHeight="1" x14ac:dyDescent="0.45">
      <c r="B25" s="5" t="s">
        <v>185</v>
      </c>
      <c r="C25" s="5" t="s">
        <v>175</v>
      </c>
    </row>
    <row r="26" spans="2:3" ht="24" customHeight="1" x14ac:dyDescent="0.35">
      <c r="B26" s="11" t="s">
        <v>186</v>
      </c>
      <c r="C26" s="7" t="s">
        <v>187</v>
      </c>
    </row>
    <row r="27" spans="2:3" ht="24" customHeight="1" x14ac:dyDescent="0.35">
      <c r="B27" s="11" t="s">
        <v>188</v>
      </c>
      <c r="C27" s="7" t="s">
        <v>189</v>
      </c>
    </row>
    <row r="28" spans="2:3" ht="24" customHeight="1" x14ac:dyDescent="0.35">
      <c r="B28" s="11" t="s">
        <v>190</v>
      </c>
      <c r="C28" s="7" t="s">
        <v>191</v>
      </c>
    </row>
    <row r="29" spans="2:3" ht="24" customHeight="1" x14ac:dyDescent="0.35">
      <c r="B29" s="11" t="s">
        <v>192</v>
      </c>
      <c r="C29" s="7" t="s">
        <v>193</v>
      </c>
    </row>
    <row r="30" spans="2:3" ht="24" customHeight="1" x14ac:dyDescent="0.35">
      <c r="B30" s="11" t="s">
        <v>194</v>
      </c>
      <c r="C30" s="7" t="s">
        <v>195</v>
      </c>
    </row>
    <row r="31" spans="2:3" ht="24" customHeight="1" x14ac:dyDescent="0.35">
      <c r="B31" s="11" t="s">
        <v>196</v>
      </c>
      <c r="C31" s="7" t="s">
        <v>197</v>
      </c>
    </row>
    <row r="32" spans="2:3" ht="24" customHeight="1" x14ac:dyDescent="0.35">
      <c r="B32" s="11" t="s">
        <v>198</v>
      </c>
      <c r="C32" s="7" t="s">
        <v>199</v>
      </c>
    </row>
    <row r="33" spans="2:3" ht="24" customHeight="1" x14ac:dyDescent="0.35">
      <c r="B33" s="11" t="s">
        <v>200</v>
      </c>
      <c r="C33" s="7" t="s">
        <v>201</v>
      </c>
    </row>
    <row r="36" spans="2:3" ht="19.5" customHeight="1" x14ac:dyDescent="0.55000000000000004">
      <c r="B36" s="48" t="s">
        <v>202</v>
      </c>
      <c r="C36" s="46"/>
    </row>
    <row r="37" spans="2:3" ht="15" customHeight="1" x14ac:dyDescent="0.4">
      <c r="B37" s="12" t="s">
        <v>203</v>
      </c>
      <c r="C37" s="13" t="s">
        <v>204</v>
      </c>
    </row>
    <row r="38" spans="2:3" ht="15" customHeight="1" x14ac:dyDescent="0.4">
      <c r="B38" s="12" t="s">
        <v>205</v>
      </c>
      <c r="C38" s="13" t="s">
        <v>206</v>
      </c>
    </row>
    <row r="41" spans="2:3" x14ac:dyDescent="0.35">
      <c r="B41" s="50" t="s">
        <v>207</v>
      </c>
      <c r="C41" s="46"/>
    </row>
  </sheetData>
  <mergeCells count="8">
    <mergeCell ref="B4:C4"/>
    <mergeCell ref="B6:C6"/>
    <mergeCell ref="B24:C24"/>
    <mergeCell ref="B5:C5"/>
    <mergeCell ref="B41:C41"/>
    <mergeCell ref="B36:C36"/>
    <mergeCell ref="B17:C17"/>
    <mergeCell ref="B9:C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H23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C26" sqref="C26"/>
    </sheetView>
  </sheetViews>
  <sheetFormatPr defaultRowHeight="14.5" x14ac:dyDescent="0.35"/>
  <cols>
    <col min="1" max="1" width="2" customWidth="1"/>
    <col min="2" max="2" width="38" customWidth="1"/>
    <col min="3" max="4" width="16" customWidth="1"/>
    <col min="5" max="5" width="2" customWidth="1"/>
    <col min="6" max="6" width="38" customWidth="1"/>
    <col min="7" max="8" width="16" customWidth="1"/>
  </cols>
  <sheetData>
    <row r="2" spans="2:8" ht="23" customHeight="1" x14ac:dyDescent="0.6">
      <c r="B2" s="14" t="s">
        <v>208</v>
      </c>
    </row>
    <row r="3" spans="2:8" x14ac:dyDescent="0.35">
      <c r="B3" s="15" t="s">
        <v>209</v>
      </c>
    </row>
    <row r="5" spans="2:8" ht="16.5" customHeight="1" x14ac:dyDescent="0.45">
      <c r="B5" s="16" t="s">
        <v>210</v>
      </c>
      <c r="C5" s="17" t="s">
        <v>211</v>
      </c>
      <c r="D5" s="17" t="s">
        <v>212</v>
      </c>
      <c r="F5" s="16" t="s">
        <v>213</v>
      </c>
      <c r="G5" s="17" t="s">
        <v>211</v>
      </c>
      <c r="H5" s="17" t="s">
        <v>212</v>
      </c>
    </row>
    <row r="6" spans="2:8" ht="15" customHeight="1" x14ac:dyDescent="0.4">
      <c r="B6" s="18" t="s">
        <v>214</v>
      </c>
      <c r="F6" s="18" t="s">
        <v>215</v>
      </c>
    </row>
    <row r="7" spans="2:8" ht="15" customHeight="1" x14ac:dyDescent="0.4">
      <c r="B7" s="12" t="s">
        <v>216</v>
      </c>
      <c r="C7" s="19"/>
      <c r="D7" s="19"/>
      <c r="F7" s="12" t="s">
        <v>217</v>
      </c>
      <c r="G7" s="19"/>
      <c r="H7" s="19"/>
    </row>
    <row r="8" spans="2:8" ht="15" customHeight="1" x14ac:dyDescent="0.4">
      <c r="B8" s="12" t="s">
        <v>218</v>
      </c>
      <c r="C8" s="19"/>
      <c r="D8" s="19"/>
      <c r="F8" s="12" t="s">
        <v>219</v>
      </c>
      <c r="G8" s="19"/>
      <c r="H8" s="19"/>
    </row>
    <row r="9" spans="2:8" ht="15" customHeight="1" x14ac:dyDescent="0.4">
      <c r="B9" s="12" t="s">
        <v>220</v>
      </c>
      <c r="C9" s="19"/>
      <c r="D9" s="19"/>
      <c r="F9" s="12" t="s">
        <v>221</v>
      </c>
      <c r="G9" s="19"/>
      <c r="H9" s="19"/>
    </row>
    <row r="10" spans="2:8" ht="15" customHeight="1" x14ac:dyDescent="0.4">
      <c r="B10" s="12" t="s">
        <v>222</v>
      </c>
      <c r="C10" s="19"/>
      <c r="D10" s="19"/>
      <c r="F10" s="20" t="s">
        <v>223</v>
      </c>
      <c r="G10" s="21">
        <f>SUM(G7:G9)</f>
        <v>0</v>
      </c>
      <c r="H10" s="21">
        <f>SUM(H7:H9)</f>
        <v>0</v>
      </c>
    </row>
    <row r="11" spans="2:8" ht="15" customHeight="1" x14ac:dyDescent="0.4">
      <c r="B11" s="20" t="s">
        <v>224</v>
      </c>
      <c r="C11" s="21">
        <f>SUM(C7:C10)</f>
        <v>0</v>
      </c>
      <c r="D11" s="21">
        <f>SUM(D7:D10)</f>
        <v>0</v>
      </c>
    </row>
    <row r="12" spans="2:8" ht="15" customHeight="1" x14ac:dyDescent="0.4">
      <c r="F12" s="12" t="s">
        <v>60</v>
      </c>
      <c r="G12" s="19"/>
      <c r="H12" s="19"/>
    </row>
    <row r="13" spans="2:8" ht="15" customHeight="1" x14ac:dyDescent="0.4">
      <c r="B13" s="18" t="s">
        <v>225</v>
      </c>
      <c r="F13" s="12" t="s">
        <v>226</v>
      </c>
      <c r="G13" s="19"/>
      <c r="H13" s="19"/>
    </row>
    <row r="14" spans="2:8" ht="15" customHeight="1" x14ac:dyDescent="0.4">
      <c r="B14" s="12" t="s">
        <v>227</v>
      </c>
      <c r="C14" s="19"/>
      <c r="D14" s="19"/>
    </row>
    <row r="15" spans="2:8" ht="15" customHeight="1" x14ac:dyDescent="0.4">
      <c r="B15" s="12" t="s">
        <v>228</v>
      </c>
      <c r="C15" s="19"/>
      <c r="D15" s="19"/>
      <c r="F15" s="20" t="s">
        <v>229</v>
      </c>
      <c r="G15" s="21">
        <f>G10+G12+G13</f>
        <v>0</v>
      </c>
      <c r="H15" s="21">
        <f>H10+H12+H13</f>
        <v>0</v>
      </c>
    </row>
    <row r="16" spans="2:8" ht="15" customHeight="1" x14ac:dyDescent="0.4">
      <c r="B16" s="20" t="s">
        <v>230</v>
      </c>
      <c r="C16" s="21">
        <f>C14-C15</f>
        <v>0</v>
      </c>
      <c r="D16" s="21">
        <f>D14-D15</f>
        <v>0</v>
      </c>
    </row>
    <row r="17" spans="2:8" ht="15" customHeight="1" x14ac:dyDescent="0.4">
      <c r="F17" s="18" t="s">
        <v>231</v>
      </c>
    </row>
    <row r="18" spans="2:8" ht="15" customHeight="1" x14ac:dyDescent="0.4">
      <c r="B18" s="18" t="s">
        <v>232</v>
      </c>
      <c r="F18" s="12" t="s">
        <v>233</v>
      </c>
      <c r="G18" s="19"/>
      <c r="H18" s="19"/>
    </row>
    <row r="19" spans="2:8" ht="15" customHeight="1" x14ac:dyDescent="0.4">
      <c r="B19" s="12" t="s">
        <v>234</v>
      </c>
      <c r="C19" s="19"/>
      <c r="D19" s="19"/>
      <c r="F19" s="12" t="s">
        <v>235</v>
      </c>
      <c r="G19" s="19"/>
      <c r="H19" s="19"/>
    </row>
    <row r="20" spans="2:8" ht="15" customHeight="1" x14ac:dyDescent="0.4">
      <c r="B20" s="12" t="s">
        <v>236</v>
      </c>
      <c r="C20" s="19"/>
      <c r="D20" s="19"/>
      <c r="F20" s="20" t="s">
        <v>237</v>
      </c>
      <c r="G20" s="21">
        <f>G18+G19</f>
        <v>0</v>
      </c>
      <c r="H20" s="21">
        <f>H18+H19</f>
        <v>0</v>
      </c>
    </row>
    <row r="22" spans="2:8" ht="16.5" customHeight="1" x14ac:dyDescent="0.35"/>
    <row r="23" spans="2:8" ht="16.5" customHeight="1" x14ac:dyDescent="0.45">
      <c r="B23" s="5" t="s">
        <v>238</v>
      </c>
      <c r="C23" s="22">
        <f>C11+C16+C19+C20</f>
        <v>0</v>
      </c>
      <c r="D23" s="22">
        <f>D11+D16+D19+D20</f>
        <v>0</v>
      </c>
      <c r="F23" s="5" t="s">
        <v>239</v>
      </c>
      <c r="G23" s="22">
        <f>G15+G20</f>
        <v>0</v>
      </c>
      <c r="H23" s="22">
        <f>H15+H20</f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19"/>
  <sheetViews>
    <sheetView showGridLines="0" workbookViewId="0">
      <pane xSplit="1" ySplit="5" topLeftCell="B6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45" customWidth="1"/>
    <col min="3" max="3" width="16" customWidth="1"/>
    <col min="4" max="4" width="14" customWidth="1"/>
  </cols>
  <sheetData>
    <row r="2" spans="2:4" ht="23" customHeight="1" x14ac:dyDescent="0.6">
      <c r="B2" s="14" t="s">
        <v>240</v>
      </c>
    </row>
    <row r="3" spans="2:4" x14ac:dyDescent="0.35">
      <c r="B3" s="15" t="s">
        <v>241</v>
      </c>
    </row>
    <row r="5" spans="2:4" ht="16.5" customHeight="1" x14ac:dyDescent="0.45">
      <c r="B5" s="23" t="s">
        <v>242</v>
      </c>
      <c r="C5" s="23" t="s">
        <v>243</v>
      </c>
      <c r="D5" s="23" t="s">
        <v>244</v>
      </c>
    </row>
    <row r="6" spans="2:4" ht="15" customHeight="1" x14ac:dyDescent="0.4">
      <c r="B6" s="12" t="s">
        <v>245</v>
      </c>
      <c r="C6" s="19"/>
      <c r="D6" s="24">
        <v>1</v>
      </c>
    </row>
    <row r="7" spans="2:4" ht="15" customHeight="1" x14ac:dyDescent="0.4">
      <c r="B7" s="12" t="s">
        <v>246</v>
      </c>
      <c r="C7" s="19"/>
      <c r="D7" s="25" t="str">
        <f t="shared" ref="D7:D15" si="0">IFERROR(C7/$C$6,"")</f>
        <v/>
      </c>
    </row>
    <row r="8" spans="2:4" ht="15" customHeight="1" x14ac:dyDescent="0.4">
      <c r="B8" s="12" t="s">
        <v>247</v>
      </c>
      <c r="C8" s="19"/>
      <c r="D8" s="25" t="str">
        <f t="shared" si="0"/>
        <v/>
      </c>
    </row>
    <row r="9" spans="2:4" ht="15" customHeight="1" x14ac:dyDescent="0.4">
      <c r="B9" s="12" t="s">
        <v>248</v>
      </c>
      <c r="C9" s="19"/>
      <c r="D9" s="25" t="str">
        <f t="shared" si="0"/>
        <v/>
      </c>
    </row>
    <row r="10" spans="2:4" ht="15" customHeight="1" x14ac:dyDescent="0.4">
      <c r="B10" s="20" t="s">
        <v>249</v>
      </c>
      <c r="C10" s="21">
        <f>C6-C7-C8-C9</f>
        <v>0</v>
      </c>
      <c r="D10" s="25" t="str">
        <f t="shared" si="0"/>
        <v/>
      </c>
    </row>
    <row r="11" spans="2:4" ht="15" customHeight="1" x14ac:dyDescent="0.4">
      <c r="B11" s="12" t="s">
        <v>250</v>
      </c>
      <c r="C11" s="19"/>
      <c r="D11" s="25" t="str">
        <f t="shared" si="0"/>
        <v/>
      </c>
    </row>
    <row r="12" spans="2:4" ht="15" customHeight="1" x14ac:dyDescent="0.4">
      <c r="B12" s="12" t="s">
        <v>251</v>
      </c>
      <c r="C12" s="19"/>
      <c r="D12" s="25" t="str">
        <f t="shared" si="0"/>
        <v/>
      </c>
    </row>
    <row r="13" spans="2:4" ht="15" customHeight="1" x14ac:dyDescent="0.4">
      <c r="B13" s="20" t="s">
        <v>252</v>
      </c>
      <c r="C13" s="21">
        <f>C10+C11-C12</f>
        <v>0</v>
      </c>
      <c r="D13" s="25" t="str">
        <f t="shared" si="0"/>
        <v/>
      </c>
    </row>
    <row r="14" spans="2:4" ht="15" customHeight="1" x14ac:dyDescent="0.4">
      <c r="B14" s="12" t="s">
        <v>253</v>
      </c>
      <c r="C14" s="19"/>
      <c r="D14" s="25" t="str">
        <f t="shared" si="0"/>
        <v/>
      </c>
    </row>
    <row r="15" spans="2:4" ht="16.5" customHeight="1" x14ac:dyDescent="0.45">
      <c r="B15" s="5" t="s">
        <v>254</v>
      </c>
      <c r="C15" s="22">
        <f>C13-C14</f>
        <v>0</v>
      </c>
      <c r="D15" s="26" t="str">
        <f t="shared" si="0"/>
        <v/>
      </c>
    </row>
    <row r="17" spans="2:4" ht="15" customHeight="1" x14ac:dyDescent="0.4">
      <c r="B17" s="18" t="s">
        <v>255</v>
      </c>
    </row>
    <row r="18" spans="2:4" ht="15" customHeight="1" x14ac:dyDescent="0.4">
      <c r="B18" s="12" t="s">
        <v>256</v>
      </c>
      <c r="C18" s="19"/>
      <c r="D18" s="25" t="str">
        <f>IFERROR(C18/$C$6,"")</f>
        <v/>
      </c>
    </row>
    <row r="19" spans="2:4" ht="15" customHeight="1" x14ac:dyDescent="0.4">
      <c r="B19" s="20" t="s">
        <v>257</v>
      </c>
      <c r="C19" s="21">
        <f>C15-C18</f>
        <v>0</v>
      </c>
      <c r="D19" s="25" t="str">
        <f>IFERROR(C19/$C$6,"")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D32"/>
  <sheetViews>
    <sheetView showGridLines="0" workbookViewId="0">
      <pane xSplit="1" ySplit="5" topLeftCell="B23" activePane="bottomRight" state="frozen"/>
      <selection pane="topRight"/>
      <selection pane="bottomLeft"/>
      <selection pane="bottomRight"/>
    </sheetView>
  </sheetViews>
  <sheetFormatPr defaultRowHeight="14.5" x14ac:dyDescent="0.35"/>
  <cols>
    <col min="1" max="1" width="2" customWidth="1"/>
    <col min="2" max="2" width="50" customWidth="1"/>
    <col min="3" max="3" width="16" customWidth="1"/>
    <col min="4" max="4" width="24" customWidth="1"/>
  </cols>
  <sheetData>
    <row r="2" spans="2:4" ht="23" customHeight="1" x14ac:dyDescent="0.6">
      <c r="B2" s="14" t="s">
        <v>258</v>
      </c>
    </row>
    <row r="3" spans="2:4" x14ac:dyDescent="0.35">
      <c r="B3" s="15" t="s">
        <v>241</v>
      </c>
    </row>
    <row r="5" spans="2:4" ht="16.5" customHeight="1" x14ac:dyDescent="0.45">
      <c r="B5" s="23" t="s">
        <v>242</v>
      </c>
      <c r="C5" s="23" t="s">
        <v>243</v>
      </c>
      <c r="D5" s="23" t="s">
        <v>259</v>
      </c>
    </row>
    <row r="6" spans="2:4" ht="15" customHeight="1" x14ac:dyDescent="0.4">
      <c r="B6" s="18" t="s">
        <v>260</v>
      </c>
      <c r="D6" s="15"/>
    </row>
    <row r="7" spans="2:4" ht="15" customHeight="1" x14ac:dyDescent="0.4">
      <c r="B7" s="12" t="s">
        <v>261</v>
      </c>
      <c r="C7" s="27">
        <f>INC_net</f>
        <v>0</v>
      </c>
      <c r="D7" s="15" t="s">
        <v>262</v>
      </c>
    </row>
    <row r="8" spans="2:4" ht="15" customHeight="1" x14ac:dyDescent="0.4">
      <c r="B8" s="12" t="s">
        <v>263</v>
      </c>
      <c r="C8" s="27">
        <f>INC_depreciation</f>
        <v>0</v>
      </c>
      <c r="D8" s="15" t="s">
        <v>262</v>
      </c>
    </row>
    <row r="9" spans="2:4" ht="15" customHeight="1" x14ac:dyDescent="0.4">
      <c r="B9" s="28" t="s">
        <v>264</v>
      </c>
      <c r="D9" s="15"/>
    </row>
    <row r="10" spans="2:4" ht="15" customHeight="1" x14ac:dyDescent="0.4">
      <c r="B10" s="12" t="s">
        <v>265</v>
      </c>
      <c r="C10" s="19"/>
      <c r="D10" s="15" t="s">
        <v>266</v>
      </c>
    </row>
    <row r="11" spans="2:4" ht="15" customHeight="1" x14ac:dyDescent="0.4">
      <c r="B11" s="12" t="s">
        <v>267</v>
      </c>
      <c r="C11" s="19"/>
      <c r="D11" s="15" t="s">
        <v>266</v>
      </c>
    </row>
    <row r="12" spans="2:4" ht="15" customHeight="1" x14ac:dyDescent="0.4">
      <c r="B12" s="12" t="s">
        <v>268</v>
      </c>
      <c r="C12" s="19"/>
      <c r="D12" s="15" t="s">
        <v>266</v>
      </c>
    </row>
    <row r="13" spans="2:4" ht="15" customHeight="1" x14ac:dyDescent="0.4">
      <c r="B13" s="12" t="s">
        <v>269</v>
      </c>
      <c r="C13" s="19"/>
      <c r="D13" s="15" t="s">
        <v>266</v>
      </c>
    </row>
    <row r="14" spans="2:4" ht="15" customHeight="1" x14ac:dyDescent="0.4">
      <c r="B14" s="12" t="s">
        <v>270</v>
      </c>
      <c r="C14" s="19"/>
      <c r="D14" s="15" t="s">
        <v>266</v>
      </c>
    </row>
    <row r="15" spans="2:4" ht="15" customHeight="1" x14ac:dyDescent="0.4">
      <c r="B15" s="20" t="s">
        <v>271</v>
      </c>
      <c r="C15" s="21">
        <f>SUM(C10:C14)</f>
        <v>0</v>
      </c>
      <c r="D15" s="15"/>
    </row>
    <row r="16" spans="2:4" ht="16.5" customHeight="1" x14ac:dyDescent="0.45">
      <c r="B16" s="5" t="s">
        <v>272</v>
      </c>
      <c r="C16" s="22">
        <f>C7+C8+C15</f>
        <v>0</v>
      </c>
      <c r="D16" s="15"/>
    </row>
    <row r="17" spans="2:4" x14ac:dyDescent="0.35">
      <c r="D17" s="15"/>
    </row>
    <row r="18" spans="2:4" ht="15" customHeight="1" x14ac:dyDescent="0.4">
      <c r="B18" s="18" t="s">
        <v>273</v>
      </c>
      <c r="D18" s="15"/>
    </row>
    <row r="19" spans="2:4" ht="15" customHeight="1" x14ac:dyDescent="0.4">
      <c r="B19" s="12" t="s">
        <v>274</v>
      </c>
      <c r="C19" s="19"/>
      <c r="D19" s="15"/>
    </row>
    <row r="20" spans="2:4" ht="15" customHeight="1" x14ac:dyDescent="0.4">
      <c r="B20" s="12" t="s">
        <v>275</v>
      </c>
      <c r="C20" s="19"/>
      <c r="D20" s="15"/>
    </row>
    <row r="21" spans="2:4" ht="15" customHeight="1" x14ac:dyDescent="0.4">
      <c r="B21" s="12" t="s">
        <v>276</v>
      </c>
      <c r="C21" s="19"/>
      <c r="D21" s="15"/>
    </row>
    <row r="22" spans="2:4" ht="16.5" customHeight="1" x14ac:dyDescent="0.45">
      <c r="B22" s="5" t="s">
        <v>277</v>
      </c>
      <c r="C22" s="22">
        <f>SUM(C19:C21)</f>
        <v>0</v>
      </c>
      <c r="D22" s="15"/>
    </row>
    <row r="23" spans="2:4" x14ac:dyDescent="0.35">
      <c r="D23" s="15"/>
    </row>
    <row r="24" spans="2:4" ht="15" customHeight="1" x14ac:dyDescent="0.4">
      <c r="B24" s="18" t="s">
        <v>278</v>
      </c>
      <c r="D24" s="15"/>
    </row>
    <row r="25" spans="2:4" ht="15" customHeight="1" x14ac:dyDescent="0.4">
      <c r="B25" s="12" t="s">
        <v>279</v>
      </c>
      <c r="C25" s="19"/>
      <c r="D25" s="15"/>
    </row>
    <row r="26" spans="2:4" ht="15" customHeight="1" x14ac:dyDescent="0.4">
      <c r="B26" s="12" t="s">
        <v>280</v>
      </c>
      <c r="C26" s="19"/>
      <c r="D26" s="15"/>
    </row>
    <row r="27" spans="2:4" ht="15" customHeight="1" x14ac:dyDescent="0.4">
      <c r="B27" s="12" t="s">
        <v>281</v>
      </c>
      <c r="C27" s="19"/>
      <c r="D27" s="15"/>
    </row>
    <row r="28" spans="2:4" ht="15" customHeight="1" x14ac:dyDescent="0.4">
      <c r="B28" s="12" t="s">
        <v>282</v>
      </c>
      <c r="C28" s="19"/>
      <c r="D28" s="15"/>
    </row>
    <row r="29" spans="2:4" ht="15" customHeight="1" x14ac:dyDescent="0.4">
      <c r="B29" s="12" t="s">
        <v>283</v>
      </c>
      <c r="C29" s="19"/>
      <c r="D29" s="15"/>
    </row>
    <row r="30" spans="2:4" ht="16.5" customHeight="1" x14ac:dyDescent="0.45">
      <c r="B30" s="5" t="s">
        <v>284</v>
      </c>
      <c r="C30" s="22">
        <f>SUM(C25:C29)</f>
        <v>0</v>
      </c>
      <c r="D30" s="15"/>
    </row>
    <row r="31" spans="2:4" x14ac:dyDescent="0.35">
      <c r="D31" s="15"/>
    </row>
    <row r="32" spans="2:4" ht="16.5" customHeight="1" x14ac:dyDescent="0.45">
      <c r="B32" s="5" t="s">
        <v>285</v>
      </c>
      <c r="C32" s="22">
        <f>C16+C22+C30</f>
        <v>0</v>
      </c>
      <c r="D32" s="15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B2:F76"/>
  <sheetViews>
    <sheetView showGridLines="0" workbookViewId="0">
      <pane xSplit="1" ySplit="5" topLeftCell="B35" activePane="bottomRight" state="frozen"/>
      <selection pane="topRight"/>
      <selection pane="bottomLeft"/>
      <selection pane="bottomRight" activeCell="F75" sqref="F75"/>
    </sheetView>
  </sheetViews>
  <sheetFormatPr defaultRowHeight="14.5" x14ac:dyDescent="0.35"/>
  <cols>
    <col min="1" max="1" width="2" customWidth="1"/>
    <col min="2" max="2" width="44" customWidth="1"/>
    <col min="3" max="3" width="16" customWidth="1"/>
    <col min="4" max="4" width="62" customWidth="1"/>
    <col min="5" max="5" width="36" customWidth="1"/>
    <col min="6" max="6" width="28" customWidth="1"/>
  </cols>
  <sheetData>
    <row r="2" spans="2:5" ht="23" customHeight="1" x14ac:dyDescent="0.6">
      <c r="B2" s="14" t="s">
        <v>0</v>
      </c>
    </row>
    <row r="3" spans="2:5" x14ac:dyDescent="0.35">
      <c r="B3" s="15" t="s">
        <v>1</v>
      </c>
    </row>
    <row r="5" spans="2:5" ht="16.5" customHeight="1" x14ac:dyDescent="0.45">
      <c r="B5" s="23" t="s">
        <v>2</v>
      </c>
      <c r="C5" s="23" t="s">
        <v>3</v>
      </c>
      <c r="D5" s="23" t="s">
        <v>4</v>
      </c>
      <c r="E5" s="23" t="s">
        <v>5</v>
      </c>
    </row>
    <row r="6" spans="2:5" ht="15" customHeight="1" x14ac:dyDescent="0.4">
      <c r="B6" s="12" t="s">
        <v>6</v>
      </c>
      <c r="C6" s="29">
        <v>2024</v>
      </c>
      <c r="D6" s="30"/>
      <c r="E6" s="30" t="s">
        <v>7</v>
      </c>
    </row>
    <row r="7" spans="2:5" ht="15" customHeight="1" x14ac:dyDescent="0.4">
      <c r="B7" s="12" t="s">
        <v>8</v>
      </c>
      <c r="C7" s="31">
        <f>yearCurrent-1</f>
        <v>2023</v>
      </c>
      <c r="D7" s="30" t="s">
        <v>9</v>
      </c>
      <c r="E7" s="30" t="s">
        <v>10</v>
      </c>
    </row>
    <row r="8" spans="2:5" ht="15" customHeight="1" x14ac:dyDescent="0.4">
      <c r="B8" s="12" t="s">
        <v>11</v>
      </c>
      <c r="C8" s="32"/>
      <c r="D8" s="30"/>
      <c r="E8" s="30" t="s">
        <v>12</v>
      </c>
    </row>
    <row r="9" spans="2:5" ht="15" customHeight="1" x14ac:dyDescent="0.4">
      <c r="B9" s="12" t="s">
        <v>13</v>
      </c>
      <c r="C9" s="33"/>
      <c r="D9" s="30"/>
      <c r="E9" s="30" t="s">
        <v>14</v>
      </c>
    </row>
    <row r="10" spans="2:5" ht="15" customHeight="1" x14ac:dyDescent="0.4">
      <c r="B10" s="12" t="s">
        <v>15</v>
      </c>
      <c r="C10" s="34">
        <v>0.09</v>
      </c>
      <c r="D10" s="30"/>
      <c r="E10" s="30" t="s">
        <v>16</v>
      </c>
    </row>
    <row r="11" spans="2:5" ht="15" customHeight="1" x14ac:dyDescent="0.4">
      <c r="B11" s="12" t="s">
        <v>17</v>
      </c>
      <c r="C11" s="34">
        <v>0.21</v>
      </c>
      <c r="D11" s="30"/>
      <c r="E11" s="30" t="s">
        <v>18</v>
      </c>
    </row>
    <row r="12" spans="2:5" ht="15" customHeight="1" x14ac:dyDescent="0.4">
      <c r="B12" s="12" t="s">
        <v>19</v>
      </c>
      <c r="C12" s="35">
        <f>share_price*shares_outstanding</f>
        <v>0</v>
      </c>
      <c r="D12" s="30" t="s">
        <v>20</v>
      </c>
      <c r="E12" s="30" t="s">
        <v>21</v>
      </c>
    </row>
    <row r="14" spans="2:5" ht="16.5" customHeight="1" x14ac:dyDescent="0.45">
      <c r="B14" s="45" t="s">
        <v>22</v>
      </c>
      <c r="C14" s="46"/>
      <c r="D14" s="46"/>
      <c r="E14" s="46"/>
    </row>
    <row r="15" spans="2:5" ht="15" customHeight="1" x14ac:dyDescent="0.4">
      <c r="B15" s="12" t="s">
        <v>23</v>
      </c>
      <c r="C15" s="36">
        <f>BAL_equity_shareholders_prior</f>
        <v>0</v>
      </c>
      <c r="D15" s="30" t="s">
        <v>24</v>
      </c>
      <c r="E15" s="30" t="s">
        <v>25</v>
      </c>
    </row>
    <row r="16" spans="2:5" ht="15" customHeight="1" x14ac:dyDescent="0.4">
      <c r="B16" s="12" t="s">
        <v>26</v>
      </c>
      <c r="C16" s="36">
        <f>BAL_inventories_prior</f>
        <v>0</v>
      </c>
      <c r="D16" s="30" t="s">
        <v>27</v>
      </c>
      <c r="E16" s="30" t="s">
        <v>28</v>
      </c>
    </row>
    <row r="17" spans="2:5" ht="15" customHeight="1" x14ac:dyDescent="0.4">
      <c r="B17" s="12" t="s">
        <v>29</v>
      </c>
      <c r="C17" s="36">
        <f>BAL_receivables_prior</f>
        <v>0</v>
      </c>
      <c r="D17" s="30" t="s">
        <v>30</v>
      </c>
      <c r="E17" s="30" t="s">
        <v>31</v>
      </c>
    </row>
    <row r="18" spans="2:5" ht="15" customHeight="1" x14ac:dyDescent="0.4">
      <c r="B18" s="12" t="s">
        <v>32</v>
      </c>
      <c r="C18" s="36">
        <f>BAL_assets_total_prior</f>
        <v>0</v>
      </c>
      <c r="D18" s="30" t="s">
        <v>33</v>
      </c>
      <c r="E18" s="30" t="s">
        <v>34</v>
      </c>
    </row>
    <row r="19" spans="2:5" ht="15" customHeight="1" x14ac:dyDescent="0.4">
      <c r="B19" s="12" t="s">
        <v>35</v>
      </c>
      <c r="C19" s="36">
        <f>BAL_debt_long_term_prior+BAL_equity_shareholders_prior</f>
        <v>0</v>
      </c>
      <c r="D19" s="30" t="s">
        <v>36</v>
      </c>
      <c r="E19" s="30" t="s">
        <v>37</v>
      </c>
    </row>
    <row r="21" spans="2:5" ht="16.5" customHeight="1" x14ac:dyDescent="0.45">
      <c r="B21" s="45" t="s">
        <v>38</v>
      </c>
      <c r="C21" s="46"/>
      <c r="D21" s="46"/>
      <c r="E21" s="46"/>
    </row>
    <row r="22" spans="2:5" ht="15" customHeight="1" x14ac:dyDescent="0.4">
      <c r="B22" s="12" t="s">
        <v>39</v>
      </c>
      <c r="C22" s="36">
        <f>INC_net+(1-tax_rate)*INC_interest_expense</f>
        <v>0</v>
      </c>
      <c r="D22" s="30" t="s">
        <v>40</v>
      </c>
      <c r="E22" s="30" t="s">
        <v>41</v>
      </c>
    </row>
    <row r="23" spans="2:5" ht="15" customHeight="1" x14ac:dyDescent="0.4">
      <c r="B23" s="12" t="s">
        <v>42</v>
      </c>
      <c r="C23" s="37">
        <f>IFERROR(INC_sales/365,"")</f>
        <v>0</v>
      </c>
      <c r="D23" s="30" t="s">
        <v>43</v>
      </c>
      <c r="E23" s="30" t="s">
        <v>44</v>
      </c>
    </row>
    <row r="24" spans="2:5" ht="15" customHeight="1" x14ac:dyDescent="0.4">
      <c r="B24" s="12" t="s">
        <v>45</v>
      </c>
      <c r="C24" s="36">
        <f>BAL_equity_shareholders_curr</f>
        <v>0</v>
      </c>
      <c r="D24" s="30" t="s">
        <v>46</v>
      </c>
      <c r="E24" s="30" t="s">
        <v>47</v>
      </c>
    </row>
    <row r="25" spans="2:5" ht="15" customHeight="1" x14ac:dyDescent="0.4">
      <c r="B25" s="12" t="s">
        <v>48</v>
      </c>
      <c r="C25" s="36">
        <f>BAL_cash_marketable_securities_curr</f>
        <v>0</v>
      </c>
      <c r="D25" s="30" t="s">
        <v>49</v>
      </c>
      <c r="E25" s="30" t="s">
        <v>50</v>
      </c>
    </row>
    <row r="26" spans="2:5" ht="15" customHeight="1" x14ac:dyDescent="0.4">
      <c r="B26" s="12" t="s">
        <v>51</v>
      </c>
      <c r="C26" s="36">
        <f>BAL_assets_current_curr</f>
        <v>0</v>
      </c>
      <c r="D26" s="30" t="s">
        <v>52</v>
      </c>
      <c r="E26" s="30" t="s">
        <v>53</v>
      </c>
    </row>
    <row r="27" spans="2:5" ht="15" customHeight="1" x14ac:dyDescent="0.4">
      <c r="B27" s="12" t="s">
        <v>54</v>
      </c>
      <c r="C27" s="36">
        <f>BAL_liabilities_current_curr</f>
        <v>0</v>
      </c>
      <c r="D27" s="30" t="s">
        <v>55</v>
      </c>
      <c r="E27" s="30" t="s">
        <v>56</v>
      </c>
    </row>
    <row r="28" spans="2:5" ht="15" customHeight="1" x14ac:dyDescent="0.4">
      <c r="B28" s="12" t="s">
        <v>57</v>
      </c>
      <c r="C28" s="37">
        <f>IFERROR(INC_cost_goods_sold/365,"")</f>
        <v>0</v>
      </c>
      <c r="D28" s="30" t="s">
        <v>58</v>
      </c>
      <c r="E28" s="30" t="s">
        <v>59</v>
      </c>
    </row>
    <row r="29" spans="2:5" ht="15" customHeight="1" x14ac:dyDescent="0.4">
      <c r="B29" s="12" t="s">
        <v>60</v>
      </c>
      <c r="C29" s="36">
        <f>BAL_debt_long_term_curr</f>
        <v>0</v>
      </c>
      <c r="D29" s="30" t="s">
        <v>61</v>
      </c>
      <c r="E29" s="30" t="s">
        <v>62</v>
      </c>
    </row>
    <row r="30" spans="2:5" ht="15" customHeight="1" x14ac:dyDescent="0.4">
      <c r="B30" s="12" t="s">
        <v>63</v>
      </c>
      <c r="C30" s="36">
        <f>BAL_assets_current_curr-BAL_liabilities_current_curr</f>
        <v>0</v>
      </c>
      <c r="D30" s="30" t="s">
        <v>64</v>
      </c>
      <c r="E30" s="30" t="s">
        <v>65</v>
      </c>
    </row>
    <row r="31" spans="2:5" ht="15" customHeight="1" x14ac:dyDescent="0.4">
      <c r="B31" s="12" t="s">
        <v>66</v>
      </c>
      <c r="C31" s="36">
        <f>BAL_assets_total_curr</f>
        <v>0</v>
      </c>
      <c r="D31" s="30" t="s">
        <v>67</v>
      </c>
      <c r="E31" s="30" t="s">
        <v>68</v>
      </c>
    </row>
    <row r="32" spans="2:5" ht="15" customHeight="1" x14ac:dyDescent="0.4">
      <c r="B32" s="12" t="s">
        <v>69</v>
      </c>
      <c r="C32" s="36">
        <f>BAL_debt_long_term_curr+BAL_equity_shareholders_curr</f>
        <v>0</v>
      </c>
      <c r="D32" s="30" t="s">
        <v>70</v>
      </c>
      <c r="E32" s="30" t="s">
        <v>71</v>
      </c>
    </row>
    <row r="33" spans="2:6" ht="15" customHeight="1" x14ac:dyDescent="0.4">
      <c r="B33" s="12" t="s">
        <v>72</v>
      </c>
      <c r="C33" s="36">
        <f>BAL_liabilities_total_curr</f>
        <v>0</v>
      </c>
      <c r="D33" s="30" t="s">
        <v>73</v>
      </c>
      <c r="E33" s="30" t="s">
        <v>74</v>
      </c>
    </row>
    <row r="35" spans="2:6" ht="16.5" customHeight="1" x14ac:dyDescent="0.45">
      <c r="B35" s="45" t="s">
        <v>75</v>
      </c>
      <c r="C35" s="46"/>
      <c r="D35" s="46"/>
      <c r="E35" s="46"/>
    </row>
    <row r="36" spans="2:6" ht="15" customHeight="1" x14ac:dyDescent="0.4">
      <c r="B36" s="12" t="s">
        <v>76</v>
      </c>
      <c r="C36" s="37">
        <f>AVERAGE(startYear_equity,currentYear_equity)</f>
        <v>0</v>
      </c>
      <c r="D36" s="30" t="s">
        <v>77</v>
      </c>
      <c r="E36" s="30" t="s">
        <v>78</v>
      </c>
    </row>
    <row r="37" spans="2:6" ht="15" customHeight="1" x14ac:dyDescent="0.4">
      <c r="B37" s="12" t="s">
        <v>79</v>
      </c>
      <c r="C37" s="37">
        <f>AVERAGE(startYear_total_assets,currentYear_assets_total)</f>
        <v>0</v>
      </c>
      <c r="D37" s="30" t="s">
        <v>80</v>
      </c>
      <c r="E37" s="30" t="s">
        <v>81</v>
      </c>
    </row>
    <row r="38" spans="2:6" ht="15" customHeight="1" x14ac:dyDescent="0.4">
      <c r="B38" s="12" t="s">
        <v>82</v>
      </c>
      <c r="C38" s="37">
        <f>AVERAGE(startYear_total_capitalization,currentYear_total_capitalization)</f>
        <v>0</v>
      </c>
      <c r="D38" s="30" t="s">
        <v>83</v>
      </c>
      <c r="E38" s="30" t="s">
        <v>84</v>
      </c>
    </row>
    <row r="41" spans="2:6" ht="16.5" customHeight="1" x14ac:dyDescent="0.45">
      <c r="B41" s="23" t="s">
        <v>85</v>
      </c>
      <c r="C41" s="23" t="s">
        <v>86</v>
      </c>
      <c r="D41" s="23" t="s">
        <v>87</v>
      </c>
      <c r="E41" s="23" t="s">
        <v>5</v>
      </c>
      <c r="F41" s="23" t="s">
        <v>88</v>
      </c>
    </row>
    <row r="42" spans="2:6" ht="16.5" customHeight="1" x14ac:dyDescent="0.45">
      <c r="B42" s="5" t="s">
        <v>89</v>
      </c>
      <c r="C42" s="1"/>
      <c r="D42" s="1"/>
      <c r="E42" s="1"/>
    </row>
    <row r="43" spans="2:6" ht="15" customHeight="1" x14ac:dyDescent="0.4">
      <c r="B43" s="12" t="s">
        <v>90</v>
      </c>
      <c r="C43" s="38"/>
      <c r="D43" s="30" t="s">
        <v>91</v>
      </c>
      <c r="E43" s="30"/>
    </row>
    <row r="44" spans="2:6" ht="15" customHeight="1" x14ac:dyDescent="0.4">
      <c r="B44" s="12" t="s">
        <v>92</v>
      </c>
      <c r="C44" s="39"/>
      <c r="D44" s="30" t="s">
        <v>93</v>
      </c>
      <c r="E44" s="30"/>
    </row>
    <row r="45" spans="2:6" ht="15" customHeight="1" x14ac:dyDescent="0.4">
      <c r="B45" s="12" t="s">
        <v>94</v>
      </c>
      <c r="C45" s="38"/>
      <c r="D45" s="30" t="s">
        <v>95</v>
      </c>
      <c r="E45" s="30"/>
    </row>
    <row r="46" spans="2:6" ht="16.5" customHeight="1" x14ac:dyDescent="0.45">
      <c r="B46" s="5" t="s">
        <v>96</v>
      </c>
      <c r="C46" s="1"/>
      <c r="D46" s="1"/>
      <c r="E46" s="1"/>
    </row>
    <row r="47" spans="2:6" ht="15" customHeight="1" x14ac:dyDescent="0.4">
      <c r="B47" s="12" t="s">
        <v>97</v>
      </c>
      <c r="C47" s="40"/>
      <c r="D47" s="30" t="s">
        <v>98</v>
      </c>
      <c r="E47" s="30"/>
    </row>
    <row r="48" spans="2:6" ht="15" customHeight="1" x14ac:dyDescent="0.4">
      <c r="B48" s="12" t="s">
        <v>99</v>
      </c>
      <c r="C48" s="40"/>
      <c r="D48" s="30" t="s">
        <v>100</v>
      </c>
      <c r="E48" s="30"/>
    </row>
    <row r="49" spans="2:5" ht="15" customHeight="1" x14ac:dyDescent="0.4">
      <c r="B49" s="12" t="s">
        <v>101</v>
      </c>
      <c r="C49" s="40"/>
      <c r="D49" s="30" t="s">
        <v>102</v>
      </c>
      <c r="E49" s="30"/>
    </row>
    <row r="50" spans="2:5" ht="15" customHeight="1" x14ac:dyDescent="0.4">
      <c r="B50" s="12" t="s">
        <v>103</v>
      </c>
      <c r="C50" s="40"/>
      <c r="D50" s="30" t="s">
        <v>104</v>
      </c>
      <c r="E50" s="30"/>
    </row>
    <row r="51" spans="2:5" ht="15" customHeight="1" x14ac:dyDescent="0.4">
      <c r="B51" s="12" t="s">
        <v>105</v>
      </c>
      <c r="C51" s="40"/>
      <c r="D51" s="30" t="s">
        <v>106</v>
      </c>
      <c r="E51" s="30"/>
    </row>
    <row r="52" spans="2:5" ht="15" customHeight="1" x14ac:dyDescent="0.4">
      <c r="B52" s="12" t="s">
        <v>107</v>
      </c>
      <c r="C52" s="40"/>
      <c r="D52" s="30" t="s">
        <v>108</v>
      </c>
      <c r="E52" s="30"/>
    </row>
    <row r="53" spans="2:5" ht="16.5" customHeight="1" x14ac:dyDescent="0.45">
      <c r="B53" s="5" t="s">
        <v>109</v>
      </c>
      <c r="C53" s="1"/>
      <c r="D53" s="1"/>
      <c r="E53" s="1"/>
    </row>
    <row r="54" spans="2:5" ht="15" customHeight="1" x14ac:dyDescent="0.4">
      <c r="B54" s="12" t="s">
        <v>110</v>
      </c>
      <c r="C54" s="39"/>
      <c r="D54" s="30" t="s">
        <v>111</v>
      </c>
      <c r="E54" s="30" t="s">
        <v>112</v>
      </c>
    </row>
    <row r="55" spans="2:5" ht="15" customHeight="1" x14ac:dyDescent="0.4">
      <c r="B55" s="12" t="s">
        <v>113</v>
      </c>
      <c r="C55" s="39"/>
      <c r="D55" s="30" t="s">
        <v>114</v>
      </c>
      <c r="E55" s="30"/>
    </row>
    <row r="56" spans="2:5" ht="15" customHeight="1" x14ac:dyDescent="0.4">
      <c r="B56" s="12" t="s">
        <v>115</v>
      </c>
      <c r="C56" s="41"/>
      <c r="D56" s="30" t="s">
        <v>116</v>
      </c>
      <c r="E56" s="30"/>
    </row>
    <row r="57" spans="2:5" ht="15" customHeight="1" x14ac:dyDescent="0.4">
      <c r="B57" s="12" t="s">
        <v>117</v>
      </c>
      <c r="C57" s="39"/>
      <c r="D57" s="30" t="s">
        <v>118</v>
      </c>
      <c r="E57" s="30"/>
    </row>
    <row r="58" spans="2:5" ht="15" customHeight="1" x14ac:dyDescent="0.4">
      <c r="B58" s="12" t="s">
        <v>119</v>
      </c>
      <c r="C58" s="41"/>
      <c r="D58" s="30" t="s">
        <v>120</v>
      </c>
      <c r="E58" s="30"/>
    </row>
    <row r="59" spans="2:5" ht="15" customHeight="1" x14ac:dyDescent="0.4">
      <c r="B59" s="12" t="s">
        <v>121</v>
      </c>
      <c r="C59" s="40"/>
      <c r="D59" s="30" t="s">
        <v>122</v>
      </c>
      <c r="E59" s="30"/>
    </row>
    <row r="60" spans="2:5" ht="15" customHeight="1" x14ac:dyDescent="0.4">
      <c r="B60" s="12" t="s">
        <v>123</v>
      </c>
      <c r="C60" s="40"/>
      <c r="D60" s="30" t="s">
        <v>124</v>
      </c>
      <c r="E60" s="30" t="s">
        <v>125</v>
      </c>
    </row>
    <row r="61" spans="2:5" ht="16.5" customHeight="1" x14ac:dyDescent="0.45">
      <c r="B61" s="5" t="s">
        <v>126</v>
      </c>
      <c r="C61" s="1"/>
      <c r="D61" s="1"/>
      <c r="E61" s="1"/>
    </row>
    <row r="62" spans="2:5" ht="15" customHeight="1" x14ac:dyDescent="0.4">
      <c r="B62" s="12" t="s">
        <v>127</v>
      </c>
      <c r="C62" s="40"/>
      <c r="D62" s="30" t="s">
        <v>128</v>
      </c>
      <c r="E62" s="30"/>
    </row>
    <row r="63" spans="2:5" ht="15" customHeight="1" x14ac:dyDescent="0.4">
      <c r="B63" s="12" t="s">
        <v>129</v>
      </c>
      <c r="C63" s="39"/>
      <c r="D63" s="30" t="s">
        <v>130</v>
      </c>
      <c r="E63" s="30"/>
    </row>
    <row r="64" spans="2:5" ht="15" customHeight="1" x14ac:dyDescent="0.4">
      <c r="B64" s="12" t="s">
        <v>131</v>
      </c>
      <c r="C64" s="40"/>
      <c r="D64" s="30" t="s">
        <v>132</v>
      </c>
      <c r="E64" s="30"/>
    </row>
    <row r="65" spans="2:6" ht="15" customHeight="1" x14ac:dyDescent="0.4">
      <c r="B65" s="12" t="s">
        <v>133</v>
      </c>
      <c r="C65" s="39"/>
      <c r="D65" s="30" t="s">
        <v>134</v>
      </c>
      <c r="E65" s="30"/>
    </row>
    <row r="66" spans="2:6" ht="15" customHeight="1" x14ac:dyDescent="0.4">
      <c r="B66" s="12" t="s">
        <v>135</v>
      </c>
      <c r="C66" s="39"/>
      <c r="D66" s="30" t="s">
        <v>136</v>
      </c>
      <c r="E66" s="30"/>
    </row>
    <row r="67" spans="2:6" ht="15" customHeight="1" x14ac:dyDescent="0.4">
      <c r="B67" s="12" t="s">
        <v>137</v>
      </c>
      <c r="C67" s="42"/>
      <c r="D67" s="30" t="s">
        <v>138</v>
      </c>
      <c r="E67" s="30" t="s">
        <v>139</v>
      </c>
    </row>
    <row r="68" spans="2:6" ht="15" customHeight="1" x14ac:dyDescent="0.4">
      <c r="B68" s="12" t="s">
        <v>140</v>
      </c>
      <c r="C68" s="39"/>
      <c r="D68" s="30" t="s">
        <v>141</v>
      </c>
      <c r="E68" s="30" t="s">
        <v>142</v>
      </c>
    </row>
    <row r="69" spans="2:6" ht="16.5" customHeight="1" x14ac:dyDescent="0.45">
      <c r="B69" s="5" t="s">
        <v>143</v>
      </c>
      <c r="C69" s="1"/>
      <c r="D69" s="1"/>
      <c r="E69" s="1"/>
    </row>
    <row r="70" spans="2:6" ht="15" customHeight="1" x14ac:dyDescent="0.4">
      <c r="B70" s="12" t="s">
        <v>144</v>
      </c>
      <c r="C70" s="40"/>
      <c r="D70" s="30" t="s">
        <v>145</v>
      </c>
      <c r="E70" s="30"/>
    </row>
    <row r="71" spans="2:6" ht="15" customHeight="1" x14ac:dyDescent="0.4">
      <c r="B71" s="12" t="s">
        <v>146</v>
      </c>
      <c r="C71" s="39"/>
      <c r="D71" s="30" t="s">
        <v>147</v>
      </c>
      <c r="E71" s="30"/>
    </row>
    <row r="72" spans="2:6" ht="15" customHeight="1" x14ac:dyDescent="0.4">
      <c r="B72" s="12" t="s">
        <v>148</v>
      </c>
      <c r="C72" s="39"/>
      <c r="D72" s="30" t="s">
        <v>149</v>
      </c>
      <c r="E72" s="30"/>
    </row>
    <row r="73" spans="2:6" ht="15" customHeight="1" x14ac:dyDescent="0.4">
      <c r="B73" s="12" t="s">
        <v>150</v>
      </c>
      <c r="C73" s="39"/>
      <c r="D73" s="30" t="s">
        <v>151</v>
      </c>
      <c r="E73" s="30"/>
    </row>
    <row r="74" spans="2:6" ht="16.5" customHeight="1" x14ac:dyDescent="0.45">
      <c r="B74" s="5" t="s">
        <v>152</v>
      </c>
      <c r="C74" s="1"/>
      <c r="D74" s="1"/>
      <c r="E74" s="1"/>
    </row>
    <row r="75" spans="2:6" ht="15" customHeight="1" x14ac:dyDescent="0.4">
      <c r="B75" s="12" t="s">
        <v>153</v>
      </c>
      <c r="C75" s="40"/>
      <c r="D75" s="30" t="s">
        <v>154</v>
      </c>
      <c r="E75" s="30"/>
      <c r="F75" s="44" t="str">
        <f>IF(OR(C75="",C47=""),"",IF(ROUND(C75,6)=ROUND(C47,6),"✓ matches direct ROA","✗ differs by "&amp;TEXT(ABS(C75-C47),"0.00%")))</f>
        <v/>
      </c>
    </row>
    <row r="76" spans="2:6" ht="15" customHeight="1" x14ac:dyDescent="0.4">
      <c r="B76" s="12" t="s">
        <v>155</v>
      </c>
      <c r="C76" s="40"/>
      <c r="D76" s="30" t="s">
        <v>156</v>
      </c>
      <c r="E76" s="30"/>
    </row>
  </sheetData>
  <mergeCells count="3">
    <mergeCell ref="B21:E21"/>
    <mergeCell ref="B35:E35"/>
    <mergeCell ref="B14:E14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C24"/>
  <sheetViews>
    <sheetView showGridLines="0" workbookViewId="0">
      <selection activeCell="C4" sqref="C4"/>
    </sheetView>
  </sheetViews>
  <sheetFormatPr defaultRowHeight="14.5" x14ac:dyDescent="0.35"/>
  <cols>
    <col min="1" max="1" width="3.90625" customWidth="1"/>
    <col min="2" max="2" width="28" customWidth="1"/>
    <col min="3" max="3" width="70" customWidth="1"/>
  </cols>
  <sheetData>
    <row r="2" spans="2:3" ht="23" customHeight="1" x14ac:dyDescent="0.6">
      <c r="B2" s="14" t="s">
        <v>286</v>
      </c>
    </row>
    <row r="4" spans="2:3" x14ac:dyDescent="0.35">
      <c r="B4" s="43" t="s">
        <v>287</v>
      </c>
      <c r="C4" s="4" t="s">
        <v>288</v>
      </c>
    </row>
    <row r="5" spans="2:3" x14ac:dyDescent="0.35">
      <c r="B5" s="43" t="s">
        <v>289</v>
      </c>
      <c r="C5" s="4" t="s">
        <v>290</v>
      </c>
    </row>
    <row r="6" spans="2:3" x14ac:dyDescent="0.35">
      <c r="B6" s="43" t="s">
        <v>291</v>
      </c>
      <c r="C6" s="4" t="s">
        <v>292</v>
      </c>
    </row>
    <row r="7" spans="2:3" x14ac:dyDescent="0.35">
      <c r="B7" s="43" t="s">
        <v>293</v>
      </c>
      <c r="C7" s="4" t="s">
        <v>294</v>
      </c>
    </row>
    <row r="8" spans="2:3" x14ac:dyDescent="0.35">
      <c r="B8" s="43" t="s">
        <v>295</v>
      </c>
      <c r="C8" s="4" t="s">
        <v>294</v>
      </c>
    </row>
    <row r="9" spans="2:3" x14ac:dyDescent="0.35">
      <c r="B9" s="43" t="s">
        <v>296</v>
      </c>
      <c r="C9" s="4" t="s">
        <v>297</v>
      </c>
    </row>
    <row r="10" spans="2:3" x14ac:dyDescent="0.35">
      <c r="B10" s="43" t="s">
        <v>298</v>
      </c>
      <c r="C10" s="4" t="s">
        <v>209</v>
      </c>
    </row>
    <row r="11" spans="2:3" x14ac:dyDescent="0.35">
      <c r="B11" s="43" t="s">
        <v>299</v>
      </c>
      <c r="C11" s="4" t="s">
        <v>300</v>
      </c>
    </row>
    <row r="12" spans="2:3" x14ac:dyDescent="0.35">
      <c r="B12" s="43" t="s">
        <v>301</v>
      </c>
      <c r="C12" s="4" t="s">
        <v>302</v>
      </c>
    </row>
    <row r="13" spans="2:3" x14ac:dyDescent="0.35">
      <c r="B13" s="43" t="s">
        <v>303</v>
      </c>
      <c r="C13" s="4" t="s">
        <v>304</v>
      </c>
    </row>
    <row r="14" spans="2:3" x14ac:dyDescent="0.35">
      <c r="B14" s="43" t="s">
        <v>305</v>
      </c>
      <c r="C14" s="4" t="s">
        <v>306</v>
      </c>
    </row>
    <row r="16" spans="2:3" x14ac:dyDescent="0.35">
      <c r="B16" s="43" t="s">
        <v>307</v>
      </c>
      <c r="C16" s="4" t="s">
        <v>308</v>
      </c>
    </row>
    <row r="17" spans="2:3" ht="29" customHeight="1" x14ac:dyDescent="0.35">
      <c r="B17" s="43" t="s">
        <v>309</v>
      </c>
      <c r="C17" s="4" t="s">
        <v>310</v>
      </c>
    </row>
    <row r="18" spans="2:3" ht="29" customHeight="1" x14ac:dyDescent="0.35">
      <c r="B18" s="43" t="s">
        <v>311</v>
      </c>
      <c r="C18" s="4" t="s">
        <v>312</v>
      </c>
    </row>
    <row r="19" spans="2:3" ht="29" customHeight="1" x14ac:dyDescent="0.35">
      <c r="B19" s="43" t="s">
        <v>313</v>
      </c>
      <c r="C19" s="4" t="s">
        <v>314</v>
      </c>
    </row>
    <row r="20" spans="2:3" ht="29" customHeight="1" x14ac:dyDescent="0.35">
      <c r="B20" s="43" t="s">
        <v>315</v>
      </c>
      <c r="C20" s="4" t="s">
        <v>316</v>
      </c>
    </row>
    <row r="22" spans="2:3" x14ac:dyDescent="0.35">
      <c r="B22" s="43" t="s">
        <v>317</v>
      </c>
    </row>
    <row r="23" spans="2:3" ht="32" customHeight="1" x14ac:dyDescent="0.35">
      <c r="B23" s="43" t="s">
        <v>318</v>
      </c>
      <c r="C23" s="4" t="s">
        <v>319</v>
      </c>
    </row>
    <row r="24" spans="2:3" ht="45" customHeight="1" x14ac:dyDescent="0.35">
      <c r="B24" s="43" t="s">
        <v>320</v>
      </c>
      <c r="C24" s="4" t="s">
        <v>321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87</vt:i4>
      </vt:variant>
    </vt:vector>
  </HeadingPairs>
  <TitlesOfParts>
    <vt:vector size="93" baseType="lpstr">
      <vt:lpstr>Cover</vt:lpstr>
      <vt:lpstr>Balance Sheet</vt:lpstr>
      <vt:lpstr>Income Statement</vt:lpstr>
      <vt:lpstr>Cash Flow Statement</vt:lpstr>
      <vt:lpstr>Ratios</vt:lpstr>
      <vt:lpstr>Notes</vt:lpstr>
      <vt:lpstr>avg_equity</vt:lpstr>
      <vt:lpstr>avg_total_assets</vt:lpstr>
      <vt:lpstr>avg_total_capitalization</vt:lpstr>
      <vt:lpstr>BAL_accounts_payable_curr</vt:lpstr>
      <vt:lpstr>BAL_accounts_payable_prior</vt:lpstr>
      <vt:lpstr>BAL_accumulated_depreciation_curr</vt:lpstr>
      <vt:lpstr>BAL_accumulated_depreciation_prior</vt:lpstr>
      <vt:lpstr>BAL_assets_current_curr</vt:lpstr>
      <vt:lpstr>BAL_assets_current_prior</vt:lpstr>
      <vt:lpstr>BAL_assets_total_curr</vt:lpstr>
      <vt:lpstr>BAL_assets_total_prior</vt:lpstr>
      <vt:lpstr>BAL_cash_marketable_securities_curr</vt:lpstr>
      <vt:lpstr>BAL_cash_marketable_securities_prior</vt:lpstr>
      <vt:lpstr>BAL_common_stock_curr</vt:lpstr>
      <vt:lpstr>BAL_common_stock_prior</vt:lpstr>
      <vt:lpstr>BAL_debt_long_term_curr</vt:lpstr>
      <vt:lpstr>BAL_debt_long_term_prior</vt:lpstr>
      <vt:lpstr>BAL_debt_short_term_curr</vt:lpstr>
      <vt:lpstr>BAL_debt_short_term_prior</vt:lpstr>
      <vt:lpstr>BAL_equity_shareholders_curr</vt:lpstr>
      <vt:lpstr>BAL_equity_shareholders_prior</vt:lpstr>
      <vt:lpstr>BAL_fixed_assets_net_curr</vt:lpstr>
      <vt:lpstr>BAL_fixed_assets_net_prior</vt:lpstr>
      <vt:lpstr>BAL_intangibles_curr</vt:lpstr>
      <vt:lpstr>BAL_intangibles_prior</vt:lpstr>
      <vt:lpstr>BAL_inventories_curr</vt:lpstr>
      <vt:lpstr>BAL_inventories_prior</vt:lpstr>
      <vt:lpstr>BAL_liabilities_current_curr</vt:lpstr>
      <vt:lpstr>BAL_liabilities_current_prior</vt:lpstr>
      <vt:lpstr>BAL_liabilities_total_curr</vt:lpstr>
      <vt:lpstr>BAL_liabilities_total_prior</vt:lpstr>
      <vt:lpstr>BAL_other_assets_curr</vt:lpstr>
      <vt:lpstr>BAL_other_assets_prior</vt:lpstr>
      <vt:lpstr>BAL_other_current_assets_curr</vt:lpstr>
      <vt:lpstr>BAL_other_current_assets_prior</vt:lpstr>
      <vt:lpstr>BAL_other_current_liabilities_curr</vt:lpstr>
      <vt:lpstr>BAL_other_current_liabilities_prior</vt:lpstr>
      <vt:lpstr>BAL_other_long_term_liabilities_curr</vt:lpstr>
      <vt:lpstr>BAL_other_long_term_liabilities_prior</vt:lpstr>
      <vt:lpstr>BAL_ppe_gross_curr</vt:lpstr>
      <vt:lpstr>BAL_ppe_gross_prior</vt:lpstr>
      <vt:lpstr>BAL_receivables_curr</vt:lpstr>
      <vt:lpstr>BAL_receivables_prior</vt:lpstr>
      <vt:lpstr>BAL_retained_earnings_curr</vt:lpstr>
      <vt:lpstr>BAL_retained_earnings_prior</vt:lpstr>
      <vt:lpstr>CASH_investments</vt:lpstr>
      <vt:lpstr>CASH_operating</vt:lpstr>
      <vt:lpstr>cost_capital</vt:lpstr>
      <vt:lpstr>currentYear_after_tax_operating_income</vt:lpstr>
      <vt:lpstr>currentYear_assets_current</vt:lpstr>
      <vt:lpstr>currentYear_assets_total</vt:lpstr>
      <vt:lpstr>currentYear_cash_marketable_securities</vt:lpstr>
      <vt:lpstr>currentYear_cost_goods_sold_daily</vt:lpstr>
      <vt:lpstr>currentYear_daily_sales_average</vt:lpstr>
      <vt:lpstr>currentYear_debt_long_term</vt:lpstr>
      <vt:lpstr>currentYear_equity</vt:lpstr>
      <vt:lpstr>currentYear_liabilities_current</vt:lpstr>
      <vt:lpstr>currentYear_liabilities_total</vt:lpstr>
      <vt:lpstr>currentYear_total_capitalization</vt:lpstr>
      <vt:lpstr>currentYear_working_capital_net</vt:lpstr>
      <vt:lpstr>INC_addition_retained_earnings</vt:lpstr>
      <vt:lpstr>INC_cost_goods_sold</vt:lpstr>
      <vt:lpstr>INC_depreciation</vt:lpstr>
      <vt:lpstr>INC_dividends</vt:lpstr>
      <vt:lpstr>INC_ebit</vt:lpstr>
      <vt:lpstr>INC_interest_expense</vt:lpstr>
      <vt:lpstr>INC_net</vt:lpstr>
      <vt:lpstr>INC_other_income</vt:lpstr>
      <vt:lpstr>INC_sales</vt:lpstr>
      <vt:lpstr>INC_sga</vt:lpstr>
      <vt:lpstr>INC_taxable_income</vt:lpstr>
      <vt:lpstr>INC_taxes</vt:lpstr>
      <vt:lpstr>market_capitalization</vt:lpstr>
      <vt:lpstr>RATIO_asset_turnover</vt:lpstr>
      <vt:lpstr>RATIO_debt_burden</vt:lpstr>
      <vt:lpstr>RATIO_leverage</vt:lpstr>
      <vt:lpstr>RATIO_operating_profit_margin</vt:lpstr>
      <vt:lpstr>share_price</vt:lpstr>
      <vt:lpstr>shares_outstanding</vt:lpstr>
      <vt:lpstr>startYear_equity</vt:lpstr>
      <vt:lpstr>startYear_inventory</vt:lpstr>
      <vt:lpstr>startYear_receivables</vt:lpstr>
      <vt:lpstr>startYear_total_assets</vt:lpstr>
      <vt:lpstr>startYear_total_capitalization</vt:lpstr>
      <vt:lpstr>tax_rate</vt:lpstr>
      <vt:lpstr>yearCurrent</vt:lpstr>
      <vt:lpstr>yearStart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Adam Stauffer</cp:lastModifiedBy>
  <dcterms:created xsi:type="dcterms:W3CDTF">2026-04-24T19:43:19Z</dcterms:created>
  <dcterms:modified xsi:type="dcterms:W3CDTF">2026-05-09T23:47:38Z</dcterms:modified>
</cp:coreProperties>
</file>