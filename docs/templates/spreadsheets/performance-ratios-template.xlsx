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Ratios" sheetId="5" state="visible" r:id="rId5"/>
    <sheet xmlns:r="http://schemas.openxmlformats.org/officeDocument/2006/relationships" name="Notes" sheetId="6" state="visible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19">
    <font>
      <name val="Calibri"/>
      <family val="2"/>
      <color theme="1"/>
      <sz val="11"/>
      <scheme val="minor"/>
    </font>
    <font>
      <name val="Open Sans"/>
      <b val="1"/>
      <color rgb="FF024731"/>
      <sz val="9"/>
    </font>
    <font>
      <name val="Open Sans"/>
      <b val="1"/>
      <color rgb="FF000000"/>
      <sz val="18"/>
    </font>
    <font>
      <name val="Open Sans"/>
      <color rgb="FF525252"/>
      <sz val="12"/>
    </font>
    <font>
      <name val="Open Sans"/>
      <b val="1"/>
      <color rgb="FF024731"/>
      <sz val="13"/>
    </font>
    <font>
      <name val="Open Sans"/>
      <b val="1"/>
      <color rgb="FF024731"/>
      <sz val="10"/>
    </font>
    <font>
      <name val="Open Sans"/>
      <color rgb="FF000000"/>
      <sz val="10"/>
    </font>
    <font>
      <name val="Open Sans"/>
      <b val="1"/>
      <color rgb="FFFFFFFF"/>
      <sz val="11"/>
    </font>
    <font>
      <name val="Open Sans"/>
      <b val="1"/>
      <color rgb="FF0000FF"/>
      <sz val="10"/>
    </font>
    <font>
      <name val="Open Sans"/>
      <color rgb="FF008000"/>
      <sz val="10"/>
    </font>
    <font>
      <name val="Open Sans"/>
      <b val="1"/>
      <color rgb="FF000000"/>
      <sz val="10"/>
    </font>
    <font>
      <name val="Consolas"/>
      <family val="3"/>
      <color rgb="FF525252"/>
      <sz val="10"/>
    </font>
    <font>
      <name val="Open Sans"/>
      <i val="1"/>
      <color rgb="FF525252"/>
      <sz val="8"/>
    </font>
    <font>
      <name val="Open Sans"/>
      <b val="1"/>
      <color rgb="FF024731"/>
      <sz val="16"/>
    </font>
    <font>
      <name val="Open Sans"/>
      <i val="1"/>
      <color rgb="FF525252"/>
      <sz val="9"/>
    </font>
    <font>
      <name val="Open Sans"/>
      <i val="1"/>
      <color rgb="FF525252"/>
      <sz val="10"/>
    </font>
    <font>
      <name val="Consolas"/>
      <family val="3"/>
      <color rgb="FF525252"/>
      <sz val="9"/>
    </font>
    <font>
      <name val="Open Sans"/>
      <b val="1"/>
      <color rgb="FF024731"/>
      <sz val="11"/>
    </font>
    <font>
      <name val="Open Sans"/>
      <color rgb="FF024731"/>
      <sz val="10"/>
    </font>
  </fonts>
  <fills count="8">
    <fill>
      <patternFill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7" fillId="2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applyAlignment="1" pivotButton="0" quotePrefix="0" xfId="0">
      <alignment vertical="center" wrapText="1"/>
    </xf>
    <xf numFmtId="0" fontId="8" fillId="5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1" fillId="0" borderId="1" applyAlignment="1" pivotButton="0" quotePrefix="0" xfId="0">
      <alignment vertical="center" wrapText="1"/>
    </xf>
    <xf numFmtId="0" fontId="6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7" fillId="2" borderId="1" applyAlignment="1" pivotButton="0" quotePrefix="0" xfId="0">
      <alignment horizontal="left"/>
    </xf>
    <xf numFmtId="0" fontId="7" fillId="2" borderId="1" applyAlignment="1" pivotButton="0" quotePrefix="0" xfId="0">
      <alignment horizontal="center"/>
    </xf>
    <xf numFmtId="0" fontId="5" fillId="0" borderId="0" pivotButton="0" quotePrefix="0" xfId="0"/>
    <xf numFmtId="164" fontId="6" fillId="4" borderId="1" pivotButton="0" quotePrefix="0" xfId="0"/>
    <xf numFmtId="0" fontId="10" fillId="0" borderId="0" pivotButton="0" quotePrefix="0" xfId="0"/>
    <xf numFmtId="164" fontId="10" fillId="6" borderId="1" pivotButton="0" quotePrefix="0" xfId="0"/>
    <xf numFmtId="164" fontId="7" fillId="2" borderId="0" pivotButton="0" quotePrefix="0" xfId="0"/>
    <xf numFmtId="0" fontId="7" fillId="2" borderId="1" pivotButton="0" quotePrefix="0" xfId="0"/>
    <xf numFmtId="165" fontId="9" fillId="0" borderId="0" pivotButton="0" quotePrefix="0" xfId="0"/>
    <xf numFmtId="166" fontId="9" fillId="0" borderId="0" pivotButton="0" quotePrefix="0" xfId="0"/>
    <xf numFmtId="166" fontId="7" fillId="2" borderId="0" pivotButton="0" quotePrefix="0" xfId="0"/>
    <xf numFmtId="164" fontId="9" fillId="0" borderId="0" pivotButton="0" quotePrefix="0" xfId="0"/>
    <xf numFmtId="0" fontId="15" fillId="0" borderId="0" pivotButton="0" quotePrefix="0" xfId="0"/>
    <xf numFmtId="1" fontId="8" fillId="5" borderId="1" pivotButton="0" quotePrefix="0" xfId="0"/>
    <xf numFmtId="0" fontId="16" fillId="0" borderId="0" pivotButton="0" quotePrefix="0" xfId="0"/>
    <xf numFmtId="1" fontId="9" fillId="0" borderId="1" pivotButton="0" quotePrefix="0" xfId="0"/>
    <xf numFmtId="167" fontId="8" fillId="5" borderId="1" pivotButton="0" quotePrefix="0" xfId="0"/>
    <xf numFmtId="3" fontId="8" fillId="5" borderId="1" pivotButton="0" quotePrefix="0" xfId="0"/>
    <xf numFmtId="165" fontId="8" fillId="5" borderId="1" pivotButton="0" quotePrefix="0" xfId="0"/>
    <xf numFmtId="3" fontId="9" fillId="0" borderId="1" pivotButton="0" quotePrefix="0" xfId="0"/>
    <xf numFmtId="164" fontId="9" fillId="0" borderId="1" pivotButton="0" quotePrefix="0" xfId="0"/>
    <xf numFmtId="168" fontId="9" fillId="0" borderId="1" pivotButton="0" quotePrefix="0" xfId="0"/>
    <xf numFmtId="164" fontId="6" fillId="6" borderId="1" applyAlignment="1" pivotButton="0" quotePrefix="0" xfId="0">
      <alignment horizontal="right"/>
    </xf>
    <xf numFmtId="169" fontId="6" fillId="6" borderId="1" applyAlignment="1" pivotButton="0" quotePrefix="0" xfId="0">
      <alignment horizontal="right"/>
    </xf>
    <xf numFmtId="166" fontId="6" fillId="6" borderId="1" applyAlignment="1" pivotButton="0" quotePrefix="0" xfId="0">
      <alignment horizontal="right"/>
    </xf>
    <xf numFmtId="170" fontId="6" fillId="6" borderId="1" applyAlignment="1" pivotButton="0" quotePrefix="0" xfId="0">
      <alignment horizontal="right"/>
    </xf>
    <xf numFmtId="171" fontId="6" fillId="6" borderId="1" applyAlignment="1" pivotButton="0" quotePrefix="0" xfId="0">
      <alignment horizontal="right"/>
    </xf>
    <xf numFmtId="0" fontId="10" fillId="0" borderId="0" applyAlignment="1" pivotButton="0" quotePrefix="0" xfId="0">
      <alignment vertical="top"/>
    </xf>
    <xf numFmtId="0" fontId="17" fillId="7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2" fillId="0" borderId="0" applyAlignment="1" pivotButton="0" quotePrefix="0" xfId="0">
      <alignment wrapText="1"/>
    </xf>
    <xf numFmtId="0" fontId="1" fillId="0" borderId="0" pivotButton="0" quotePrefix="0" xfId="0"/>
    <xf numFmtId="49" fontId="18" fillId="6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1"/>
  <sheetViews>
    <sheetView showGridLines="0" workbookViewId="0">
      <selection activeCell="B10" sqref="B10"/>
    </sheetView>
  </sheetViews>
  <sheetFormatPr baseColWidth="8" defaultRowHeight="14.5"/>
  <cols>
    <col width="2" customWidth="1" style="45" min="1" max="1"/>
    <col width="28" customWidth="1" style="45" min="2" max="2"/>
    <col width="70" customWidth="1" style="45" min="3" max="3"/>
    <col width="2" customWidth="1" style="45" min="4" max="4"/>
  </cols>
  <sheetData>
    <row r="2" ht="8" customHeight="1" s="45">
      <c r="B2" s="1" t="n"/>
      <c r="C2" s="1" t="n"/>
    </row>
    <row r="4">
      <c r="B4" s="50" t="inlineStr">
        <is>
          <t>UNIVERSITY OF HAWAIʻI AT MĀNOA · SHIDLER COLLEGE OF BUSINESS</t>
        </is>
      </c>
    </row>
    <row r="5" ht="26" customHeight="1" s="45">
      <c r="B5" s="48" t="inlineStr">
        <is>
          <t>BUS-629 International Corporate Finance · Vietnam EMBA</t>
        </is>
      </c>
    </row>
    <row r="6" ht="18" customHeight="1" s="45">
      <c r="B6" s="46" t="inlineStr">
        <is>
          <t>Performance Ratios — Excel Template</t>
        </is>
      </c>
    </row>
    <row r="7" ht="4" customHeight="1" s="45">
      <c r="B7" s="2" t="n"/>
      <c r="C7" s="2" t="n"/>
    </row>
    <row r="9" ht="19.5" customHeight="1" s="45">
      <c r="B9" s="47" t="inlineStr">
        <is>
          <t>How to Use This Template</t>
        </is>
      </c>
    </row>
    <row r="10" ht="18" customHeight="1" s="45">
      <c r="B10" s="3" t="inlineStr">
        <is>
          <t>1.</t>
        </is>
      </c>
      <c r="C10" s="4" t="inlineStr">
        <is>
          <t>Enter prior-year and current-year balance-sheet figures on the Balance Sheet tab (Stage 3 task).</t>
        </is>
      </c>
    </row>
    <row r="11" ht="18" customHeight="1" s="45">
      <c r="B11" s="3" t="inlineStr">
        <is>
          <t>2.</t>
        </is>
      </c>
      <c r="C11" s="4" t="inlineStr">
        <is>
          <t>Enter current-year income-statement figures on the Income Statement tab (Stage 3 task).</t>
        </is>
      </c>
    </row>
    <row r="12" ht="18" customHeight="1" s="45">
      <c r="B12" s="3" t="inlineStr">
        <is>
          <t>3.</t>
        </is>
      </c>
      <c r="C12" s="4" t="inlineStr">
        <is>
          <t>Enter current-year cash-flow items on the Cash Flow Statement tab (Stage 3 task).</t>
        </is>
      </c>
    </row>
    <row r="13" ht="18" customHeight="1" s="45">
      <c r="B13" s="3" t="inlineStr">
        <is>
          <t>4.</t>
        </is>
      </c>
      <c r="C13" s="4" t="inlineStr">
        <is>
          <t>On the Ratios tab, enter the four analyst assumptions at top: share price, shares outstanding, cost of capital, tax rate.</t>
        </is>
      </c>
    </row>
    <row r="14" ht="18" customHeight="1" s="45">
      <c r="B14" s="3" t="inlineStr">
        <is>
          <t>5.</t>
        </is>
      </c>
      <c r="C14" s="4" t="inlineStr">
        <is>
          <t>Ratio outputs populate automatically in the Outputs section of the Ratios tab — no manual ratio computation required.</t>
        </is>
      </c>
    </row>
    <row r="15" ht="18" customHeight="1" s="45">
      <c r="B15" s="3" t="inlineStr">
        <is>
          <t>6.</t>
        </is>
      </c>
      <c r="C15" s="4" t="inlineStr">
        <is>
          <t>Document company metadata, data source, and AI usage on the Notes tab.</t>
        </is>
      </c>
    </row>
    <row r="17" ht="19.5" customHeight="1" s="45">
      <c r="B17" s="47" t="inlineStr">
        <is>
          <t>Color Key</t>
        </is>
      </c>
    </row>
    <row r="18" ht="16.5" customHeight="1" s="45">
      <c r="B18" s="5" t="inlineStr">
        <is>
          <t>Style</t>
        </is>
      </c>
      <c r="C18" s="5" t="inlineStr">
        <is>
          <t>Meaning</t>
        </is>
      </c>
    </row>
    <row r="19" ht="30" customHeight="1" s="45">
      <c r="B19" s="6" t="inlineStr">
        <is>
          <t>Sample</t>
        </is>
      </c>
      <c r="C19" s="7" t="inlineStr">
        <is>
          <t>Yellow background — DATA INPUTS. Numbers pulled from 10-K / financial statements. Overwrite with your company's figures.</t>
        </is>
      </c>
    </row>
    <row r="20" ht="30" customHeight="1" s="45">
      <c r="B20" s="8" t="inlineStr">
        <is>
          <t>12.3%</t>
        </is>
      </c>
      <c r="C20" s="7" t="inlineStr">
        <is>
          <t>Light-blue background + blue text — ASSUMPTIONS. Analyst inputs: share price, shares outstanding, WACC, tax rate, fiscal years.</t>
        </is>
      </c>
    </row>
    <row r="21" ht="30" customHeight="1" s="45">
      <c r="B21" s="9" t="inlineStr">
        <is>
          <t>f(x)</t>
        </is>
      </c>
      <c r="C21" s="7" t="inlineStr">
        <is>
          <t>Green text — FORMULAS. Cross-sheet references and derived calculations. Do not overwrite.</t>
        </is>
      </c>
    </row>
    <row r="22" ht="30" customHeight="1" s="45">
      <c r="B22" s="10" t="inlineStr">
        <is>
          <t>1.23x</t>
        </is>
      </c>
      <c r="C22" s="7" t="inlineStr">
        <is>
          <t>Gray background — RATIO OUTPUTS. Computed values in the Ratios tab. Do not overwrite.</t>
        </is>
      </c>
    </row>
    <row r="24" ht="19.5" customHeight="1" s="45">
      <c r="B24" s="47" t="inlineStr">
        <is>
          <t>Named-Range Convention</t>
        </is>
      </c>
    </row>
    <row r="25" ht="16.5" customHeight="1" s="45">
      <c r="B25" s="5" t="inlineStr">
        <is>
          <t>Prefix / Pattern</t>
        </is>
      </c>
      <c r="C25" s="5" t="inlineStr">
        <is>
          <t>Meaning</t>
        </is>
      </c>
    </row>
    <row r="26" ht="24" customHeight="1" s="45">
      <c r="B26" s="11" t="inlineStr">
        <is>
          <t>BAL_[item]_[yr]</t>
        </is>
      </c>
      <c r="C26" s="7" t="inlineStr">
        <is>
          <t>Balance-sheet line items, suffixed with fiscal year (e.g., BAL_assets_total_2024).</t>
        </is>
      </c>
    </row>
    <row r="27" ht="24" customHeight="1" s="45">
      <c r="B27" s="11" t="inlineStr">
        <is>
          <t>INC_[item]</t>
        </is>
      </c>
      <c r="C27" s="7" t="inlineStr">
        <is>
          <t>Income-statement items (e.g., INC_sales, INC_ebit, INC_net).</t>
        </is>
      </c>
    </row>
    <row r="28" ht="24" customHeight="1" s="45">
      <c r="B28" s="11" t="inlineStr">
        <is>
          <t>CASH_[item]</t>
        </is>
      </c>
      <c r="C28" s="7" t="inlineStr">
        <is>
          <t>Cash-flow items (e.g., CASH_operating).</t>
        </is>
      </c>
    </row>
    <row r="29" ht="24" customHeight="1" s="45">
      <c r="B29" s="11" t="inlineStr">
        <is>
          <t>share_price, shares_outstanding, cost_capital, tax_rate</t>
        </is>
      </c>
      <c r="C29" s="7" t="inlineStr">
        <is>
          <t>Analyst assumptions (no prefix).</t>
        </is>
      </c>
    </row>
    <row r="30" ht="24" customHeight="1" s="45">
      <c r="B30" s="11" t="inlineStr">
        <is>
          <t>startYear_[item]</t>
        </is>
      </c>
      <c r="C30" s="7" t="inlineStr">
        <is>
          <t>Alias for prior-year balance (e.g., startYear_equity ≡ BAL_equity_shareholders_prior).</t>
        </is>
      </c>
    </row>
    <row r="31" ht="24" customHeight="1" s="45">
      <c r="B31" s="11" t="inlineStr">
        <is>
          <t>currentYear_[item]</t>
        </is>
      </c>
      <c r="C31" s="7" t="inlineStr">
        <is>
          <t>Alias for current-year balance or derived current-year figure.</t>
        </is>
      </c>
    </row>
    <row r="32" ht="24" customHeight="1" s="45">
      <c r="B32" s="11" t="inlineStr">
        <is>
          <t>avg_[item]</t>
        </is>
      </c>
      <c r="C32" s="7" t="inlineStr">
        <is>
          <t>Mean of start-of-year and current-year (e.g., avg_equity).</t>
        </is>
      </c>
    </row>
    <row r="33" ht="24" customHeight="1" s="45">
      <c r="B33" s="11" t="inlineStr">
        <is>
          <t>RATIO_[name]</t>
        </is>
      </c>
      <c r="C33" s="7" t="inlineStr">
        <is>
          <t>Key ratios reused in Du Pont decomposition (asset_turnover, operating_profit_margin, leverage, debt_burden).</t>
        </is>
      </c>
    </row>
    <row r="36" ht="19.5" customHeight="1" s="45">
      <c r="B36" s="47" t="inlineStr">
        <is>
          <t>Companion Specification</t>
        </is>
      </c>
    </row>
    <row r="37" ht="15" customHeight="1" s="45">
      <c r="B37" s="12" t="inlineStr">
        <is>
          <t>See:</t>
        </is>
      </c>
      <c r="C37" s="13" t="inlineStr">
        <is>
          <t>docs/templates/spec-template.md (repo-level)</t>
        </is>
      </c>
    </row>
    <row r="38" ht="15" customHeight="1" s="45">
      <c r="B38" s="12" t="inlineStr">
        <is>
          <t>Course:</t>
        </is>
      </c>
      <c r="C38" s="13" t="inlineStr">
        <is>
          <t>courses/BUS-629-VEMBA-International-Corporate-Finance/</t>
        </is>
      </c>
    </row>
    <row r="41">
      <c r="B41" s="49" t="inlineStr">
        <is>
          <t>Prepared per UH Mānoa brand standards (docs/_branding/design.json). Primary green #024731 · Open Sans typography · ADA-compliant contrast.</t>
        </is>
      </c>
    </row>
  </sheetData>
  <mergeCells count="8">
    <mergeCell ref="B6:C6"/>
    <mergeCell ref="B24:C24"/>
    <mergeCell ref="B5:C5"/>
    <mergeCell ref="B41:C41"/>
    <mergeCell ref="B36:C36"/>
    <mergeCell ref="B17:C17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C26" sqref="C26"/>
    </sheetView>
  </sheetViews>
  <sheetFormatPr baseColWidth="8" defaultRowHeight="14.5"/>
  <cols>
    <col width="2" customWidth="1" style="45" min="1" max="1"/>
    <col width="38" customWidth="1" style="45" min="2" max="2"/>
    <col width="16" customWidth="1" style="45" min="3" max="4"/>
    <col width="2" customWidth="1" style="45" min="5" max="5"/>
    <col width="38" customWidth="1" style="45" min="6" max="6"/>
    <col width="16" customWidth="1" style="45" min="7" max="8"/>
  </cols>
  <sheetData>
    <row r="2" ht="23" customHeight="1" s="45">
      <c r="B2" s="14" t="inlineStr">
        <is>
          <t>Balance Sheet</t>
        </is>
      </c>
    </row>
    <row r="3">
      <c r="B3" s="15" t="inlineStr">
        <is>
          <t>All figures in $millions unless otherwise noted</t>
        </is>
      </c>
    </row>
    <row r="5" ht="16.5" customHeight="1" s="45">
      <c r="B5" s="16" t="inlineStr">
        <is>
          <t>ASSETS</t>
        </is>
      </c>
      <c r="C5" s="17" t="inlineStr">
        <is>
          <t>FY Current</t>
        </is>
      </c>
      <c r="D5" s="17" t="inlineStr">
        <is>
          <t>FY Prior</t>
        </is>
      </c>
      <c r="F5" s="16" t="inlineStr">
        <is>
          <t>LIABILITIES &amp; EQUITY</t>
        </is>
      </c>
      <c r="G5" s="17" t="inlineStr">
        <is>
          <t>FY Current</t>
        </is>
      </c>
      <c r="H5" s="17" t="inlineStr">
        <is>
          <t>FY Prior</t>
        </is>
      </c>
    </row>
    <row r="6" ht="15" customHeight="1" s="45">
      <c r="B6" s="18" t="inlineStr">
        <is>
          <t>Current Assets</t>
        </is>
      </c>
      <c r="F6" s="18" t="inlineStr">
        <is>
          <t>Current Liabilities</t>
        </is>
      </c>
    </row>
    <row r="7" ht="15" customHeight="1" s="45">
      <c r="B7" s="12" t="inlineStr">
        <is>
          <t>Cash and marketable securities</t>
        </is>
      </c>
      <c r="C7" s="19" t="n"/>
      <c r="D7" s="19" t="n"/>
      <c r="F7" s="12" t="inlineStr">
        <is>
          <t>Debt due for repayment</t>
        </is>
      </c>
      <c r="G7" s="19" t="n"/>
      <c r="H7" s="19" t="n"/>
    </row>
    <row r="8" ht="15" customHeight="1" s="45">
      <c r="B8" s="12" t="inlineStr">
        <is>
          <t>Receivables</t>
        </is>
      </c>
      <c r="C8" s="19" t="n"/>
      <c r="D8" s="19" t="n"/>
      <c r="F8" s="12" t="inlineStr">
        <is>
          <t>Accounts payable</t>
        </is>
      </c>
      <c r="G8" s="19" t="n"/>
      <c r="H8" s="19" t="n"/>
    </row>
    <row r="9" ht="15" customHeight="1" s="45">
      <c r="B9" s="12" t="inlineStr">
        <is>
          <t>Inventories</t>
        </is>
      </c>
      <c r="C9" s="19" t="n"/>
      <c r="D9" s="19" t="n"/>
      <c r="F9" s="12" t="inlineStr">
        <is>
          <t>Other current liabilities</t>
        </is>
      </c>
      <c r="G9" s="19" t="n"/>
      <c r="H9" s="19" t="n"/>
    </row>
    <row r="10" ht="15" customHeight="1" s="45">
      <c r="B10" s="12" t="inlineStr">
        <is>
          <t>Other current assets</t>
        </is>
      </c>
      <c r="C10" s="19" t="n"/>
      <c r="D10" s="19" t="n"/>
      <c r="F10" s="20" t="inlineStr">
        <is>
          <t xml:space="preserve">   Total current liabilities</t>
        </is>
      </c>
      <c r="G10" s="21">
        <f>SUM(G7:G9)</f>
        <v/>
      </c>
      <c r="H10" s="21">
        <f>SUM(H7:H9)</f>
        <v/>
      </c>
    </row>
    <row r="11" ht="15" customHeight="1" s="45">
      <c r="B11" s="20" t="inlineStr">
        <is>
          <t xml:space="preserve">   Total current assets</t>
        </is>
      </c>
      <c r="C11" s="21">
        <f>SUM(C7:C10)</f>
        <v/>
      </c>
      <c r="D11" s="21">
        <f>SUM(D7:D10)</f>
        <v/>
      </c>
    </row>
    <row r="12" ht="15" customHeight="1" s="45">
      <c r="F12" s="12" t="inlineStr">
        <is>
          <t>Long-term debt</t>
        </is>
      </c>
      <c r="G12" s="19" t="n"/>
      <c r="H12" s="19" t="n"/>
    </row>
    <row r="13" ht="15" customHeight="1" s="45">
      <c r="B13" s="18" t="inlineStr">
        <is>
          <t>Fixed Assets</t>
        </is>
      </c>
      <c r="F13" s="12" t="inlineStr">
        <is>
          <t>Other long-term liabilities</t>
        </is>
      </c>
      <c r="G13" s="19" t="n"/>
      <c r="H13" s="19" t="n"/>
    </row>
    <row r="14" ht="15" customHeight="1" s="45">
      <c r="B14" s="12" t="inlineStr">
        <is>
          <t>Property, plant, and equipment</t>
        </is>
      </c>
      <c r="C14" s="19" t="n"/>
      <c r="D14" s="19" t="n"/>
    </row>
    <row r="15" ht="15" customHeight="1" s="45">
      <c r="B15" s="12" t="inlineStr">
        <is>
          <t>Less accumulated depreciation</t>
        </is>
      </c>
      <c r="C15" s="19" t="n"/>
      <c r="D15" s="19" t="n"/>
      <c r="F15" s="20" t="inlineStr">
        <is>
          <t>Total Liabilities</t>
        </is>
      </c>
      <c r="G15" s="21">
        <f>G10+G12+G13</f>
        <v/>
      </c>
      <c r="H15" s="21">
        <f>H10+H12+H13</f>
        <v/>
      </c>
    </row>
    <row r="16" ht="15" customHeight="1" s="45">
      <c r="B16" s="20" t="inlineStr">
        <is>
          <t xml:space="preserve">   Net tangible fixed assets</t>
        </is>
      </c>
      <c r="C16" s="21">
        <f>C14-C15</f>
        <v/>
      </c>
      <c r="D16" s="21">
        <f>D14-D15</f>
        <v/>
      </c>
    </row>
    <row r="17" ht="15" customHeight="1" s="45">
      <c r="F17" s="18" t="inlineStr">
        <is>
          <t>SHAREHOLDERS' EQUITY</t>
        </is>
      </c>
    </row>
    <row r="18" ht="15" customHeight="1" s="45">
      <c r="B18" s="18" t="inlineStr">
        <is>
          <t>Other Assets</t>
        </is>
      </c>
      <c r="F18" s="12" t="inlineStr">
        <is>
          <t>Common stock and paid-in capital</t>
        </is>
      </c>
      <c r="G18" s="19" t="n"/>
      <c r="H18" s="19" t="n"/>
    </row>
    <row r="19" ht="15" customHeight="1" s="45">
      <c r="B19" s="12" t="inlineStr">
        <is>
          <t>Intangible assets (goodwill)</t>
        </is>
      </c>
      <c r="C19" s="19" t="n"/>
      <c r="D19" s="19" t="n"/>
      <c r="F19" s="12" t="inlineStr">
        <is>
          <t>Retained earnings</t>
        </is>
      </c>
      <c r="G19" s="19" t="n"/>
      <c r="H19" s="19" t="n"/>
    </row>
    <row r="20" ht="15" customHeight="1" s="45">
      <c r="B20" s="12" t="inlineStr">
        <is>
          <t>Other assets</t>
        </is>
      </c>
      <c r="C20" s="19" t="n"/>
      <c r="D20" s="19" t="n"/>
      <c r="F20" s="20" t="inlineStr">
        <is>
          <t xml:space="preserve">   Total shareholders' equity</t>
        </is>
      </c>
      <c r="G20" s="21">
        <f>G18+G19</f>
        <v/>
      </c>
      <c r="H20" s="21">
        <f>H18+H19</f>
        <v/>
      </c>
    </row>
    <row r="22" ht="16.5" customHeight="1" s="45"/>
    <row r="23" ht="16.5" customHeight="1" s="45">
      <c r="B23" s="5" t="inlineStr">
        <is>
          <t>Total Assets</t>
        </is>
      </c>
      <c r="C23" s="22">
        <f>C11+C16+C19+C20</f>
        <v/>
      </c>
      <c r="D23" s="22">
        <f>D11+D16+D19+D20</f>
        <v/>
      </c>
      <c r="F23" s="5" t="inlineStr">
        <is>
          <t>Total Liabilities + Equity</t>
        </is>
      </c>
      <c r="G23" s="22">
        <f>G15+G20</f>
        <v/>
      </c>
      <c r="H23" s="22">
        <f>H15+H20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" customWidth="1" style="45" min="1" max="1"/>
    <col width="45" customWidth="1" style="45" min="2" max="2"/>
    <col width="16" customWidth="1" style="45" min="3" max="3"/>
    <col width="14" customWidth="1" style="45" min="4" max="4"/>
  </cols>
  <sheetData>
    <row r="2" ht="23" customHeight="1" s="45">
      <c r="B2" s="14" t="inlineStr">
        <is>
          <t>Income Statement</t>
        </is>
      </c>
    </row>
    <row r="3">
      <c r="B3" s="15" t="inlineStr">
        <is>
          <t>Current fiscal year · figures in $millions</t>
        </is>
      </c>
    </row>
    <row r="5" ht="16.5" customHeight="1" s="45">
      <c r="B5" s="23" t="inlineStr">
        <is>
          <t>Line Item</t>
        </is>
      </c>
      <c r="C5" s="23" t="inlineStr">
        <is>
          <t>Amount</t>
        </is>
      </c>
      <c r="D5" s="23" t="inlineStr">
        <is>
          <t>% of Sales</t>
        </is>
      </c>
    </row>
    <row r="6" ht="15" customHeight="1" s="45">
      <c r="B6" s="12" t="inlineStr">
        <is>
          <t>Net sales</t>
        </is>
      </c>
      <c r="C6" s="19" t="n"/>
      <c r="D6" s="24" t="n">
        <v>1</v>
      </c>
    </row>
    <row r="7" ht="15" customHeight="1" s="45">
      <c r="B7" s="12" t="inlineStr">
        <is>
          <t>less Cost of goods sold</t>
        </is>
      </c>
      <c r="C7" s="19" t="n"/>
      <c r="D7" s="25">
        <f>IFERROR(C7/$C$6,"")</f>
        <v/>
      </c>
    </row>
    <row r="8" ht="15" customHeight="1" s="45">
      <c r="B8" s="12" t="inlineStr">
        <is>
          <t>less Selling, general &amp; administrative expenses</t>
        </is>
      </c>
      <c r="C8" s="19" t="n"/>
      <c r="D8" s="25">
        <f>IFERROR(C8/$C$6,"")</f>
        <v/>
      </c>
    </row>
    <row r="9" ht="15" customHeight="1" s="45">
      <c r="B9" s="12" t="inlineStr">
        <is>
          <t>less Depreciation</t>
        </is>
      </c>
      <c r="C9" s="19" t="n"/>
      <c r="D9" s="25">
        <f>IFERROR(C9/$C$6,"")</f>
        <v/>
      </c>
    </row>
    <row r="10" ht="15" customHeight="1" s="45">
      <c r="B10" s="20" t="inlineStr">
        <is>
          <t xml:space="preserve">   Earnings before interest and taxes (EBIT)</t>
        </is>
      </c>
      <c r="C10" s="21">
        <f>C6-C7-C8-C9</f>
        <v/>
      </c>
      <c r="D10" s="25">
        <f>IFERROR(C10/$C$6,"")</f>
        <v/>
      </c>
    </row>
    <row r="11" ht="15" customHeight="1" s="45">
      <c r="B11" s="12" t="inlineStr">
        <is>
          <t>plus Other income</t>
        </is>
      </c>
      <c r="C11" s="19" t="n"/>
      <c r="D11" s="25">
        <f>IFERROR(C11/$C$6,"")</f>
        <v/>
      </c>
    </row>
    <row r="12" ht="15" customHeight="1" s="45">
      <c r="B12" s="12" t="inlineStr">
        <is>
          <t>less Interest expense</t>
        </is>
      </c>
      <c r="C12" s="19" t="n"/>
      <c r="D12" s="25">
        <f>IFERROR(C12/$C$6,"")</f>
        <v/>
      </c>
    </row>
    <row r="13" ht="15" customHeight="1" s="45">
      <c r="B13" s="20" t="inlineStr">
        <is>
          <t xml:space="preserve">   Taxable income</t>
        </is>
      </c>
      <c r="C13" s="21">
        <f>C10+C11-C12</f>
        <v/>
      </c>
      <c r="D13" s="25">
        <f>IFERROR(C13/$C$6,"")</f>
        <v/>
      </c>
    </row>
    <row r="14" ht="15" customHeight="1" s="45">
      <c r="B14" s="12" t="inlineStr">
        <is>
          <t>less Taxes</t>
        </is>
      </c>
      <c r="C14" s="19" t="n"/>
      <c r="D14" s="25">
        <f>IFERROR(C14/$C$6,"")</f>
        <v/>
      </c>
    </row>
    <row r="15" ht="16.5" customHeight="1" s="45">
      <c r="B15" s="5" t="inlineStr">
        <is>
          <t xml:space="preserve">   Net income</t>
        </is>
      </c>
      <c r="C15" s="22">
        <f>C13-C14</f>
        <v/>
      </c>
      <c r="D15" s="26">
        <f>IFERROR(C15/$C$6,"")</f>
        <v/>
      </c>
    </row>
    <row r="17" ht="15" customHeight="1" s="45">
      <c r="B17" s="18" t="inlineStr">
        <is>
          <t>Allocation of net income</t>
        </is>
      </c>
    </row>
    <row r="18" ht="15" customHeight="1" s="45">
      <c r="B18" s="12" t="inlineStr">
        <is>
          <t xml:space="preserve">   Dividends</t>
        </is>
      </c>
      <c r="C18" s="19" t="n"/>
      <c r="D18" s="25">
        <f>IFERROR(C18/$C$6,"")</f>
        <v/>
      </c>
    </row>
    <row r="19" ht="15" customHeight="1" s="45">
      <c r="B19" s="20" t="inlineStr">
        <is>
          <t xml:space="preserve">   Addition to retained earnings</t>
        </is>
      </c>
      <c r="C19" s="21">
        <f>C15-C18</f>
        <v/>
      </c>
      <c r="D19" s="25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32"/>
  <sheetViews>
    <sheetView showGridLines="0" workbookViewId="0">
      <pane xSplit="1" ySplit="5" topLeftCell="B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" customWidth="1" style="45" min="1" max="1"/>
    <col width="50" customWidth="1" style="45" min="2" max="2"/>
    <col width="16" customWidth="1" style="45" min="3" max="3"/>
    <col width="24" customWidth="1" style="45" min="4" max="4"/>
  </cols>
  <sheetData>
    <row r="2" ht="23" customHeight="1" s="45">
      <c r="B2" s="14" t="inlineStr">
        <is>
          <t>Cash Flow Statement</t>
        </is>
      </c>
    </row>
    <row r="3">
      <c r="B3" s="15" t="inlineStr">
        <is>
          <t>Current fiscal year · figures in $millions</t>
        </is>
      </c>
    </row>
    <row r="5" ht="16.5" customHeight="1" s="45">
      <c r="B5" s="23" t="inlineStr">
        <is>
          <t>Line Item</t>
        </is>
      </c>
      <c r="C5" s="23" t="inlineStr">
        <is>
          <t>Amount</t>
        </is>
      </c>
      <c r="D5" s="23" t="inlineStr">
        <is>
          <t>Source / Notes</t>
        </is>
      </c>
    </row>
    <row r="6" ht="15" customHeight="1" s="45">
      <c r="B6" s="18" t="inlineStr">
        <is>
          <t>Operations:</t>
        </is>
      </c>
      <c r="D6" s="15" t="n"/>
    </row>
    <row r="7" ht="15" customHeight="1" s="45">
      <c r="B7" s="12" t="inlineStr">
        <is>
          <t>Net income</t>
        </is>
      </c>
      <c r="C7" s="27">
        <f>INC_net</f>
        <v/>
      </c>
      <c r="D7" s="15" t="inlineStr">
        <is>
          <t>[Income Statement]</t>
        </is>
      </c>
    </row>
    <row r="8" ht="15" customHeight="1" s="45">
      <c r="B8" s="12" t="inlineStr">
        <is>
          <t>plus Depreciation</t>
        </is>
      </c>
      <c r="C8" s="27">
        <f>INC_depreciation</f>
        <v/>
      </c>
      <c r="D8" s="15" t="inlineStr">
        <is>
          <t>[Income Statement]</t>
        </is>
      </c>
    </row>
    <row r="9" ht="15" customHeight="1" s="45">
      <c r="B9" s="28" t="inlineStr">
        <is>
          <t xml:space="preserve">   plus Changes in working capital items</t>
        </is>
      </c>
      <c r="D9" s="15" t="n"/>
    </row>
    <row r="10" ht="15" customHeight="1" s="45">
      <c r="B10" s="12" t="inlineStr">
        <is>
          <t xml:space="preserve">      Decrease (increase) in accounts receivable</t>
        </is>
      </c>
      <c r="C10" s="19" t="n"/>
      <c r="D10" s="15" t="inlineStr">
        <is>
          <t>[Balance Sheet]</t>
        </is>
      </c>
    </row>
    <row r="11" ht="15" customHeight="1" s="45">
      <c r="B11" s="12" t="inlineStr">
        <is>
          <t xml:space="preserve">      Decrease (increase) in inventories</t>
        </is>
      </c>
      <c r="C11" s="19" t="n"/>
      <c r="D11" s="15" t="inlineStr">
        <is>
          <t>[Balance Sheet]</t>
        </is>
      </c>
    </row>
    <row r="12" ht="15" customHeight="1" s="45">
      <c r="B12" s="12" t="inlineStr">
        <is>
          <t xml:space="preserve">      Decrease (increase) in other current assets</t>
        </is>
      </c>
      <c r="C12" s="19" t="n"/>
      <c r="D12" s="15" t="inlineStr">
        <is>
          <t>[Balance Sheet]</t>
        </is>
      </c>
    </row>
    <row r="13" ht="15" customHeight="1" s="45">
      <c r="B13" s="12" t="inlineStr">
        <is>
          <t xml:space="preserve">      Increase (decrease) in accounts payable</t>
        </is>
      </c>
      <c r="C13" s="19" t="n"/>
      <c r="D13" s="15" t="inlineStr">
        <is>
          <t>[Balance Sheet]</t>
        </is>
      </c>
    </row>
    <row r="14" ht="15" customHeight="1" s="45">
      <c r="B14" s="12" t="inlineStr">
        <is>
          <t xml:space="preserve">      Increase (decrease) in other current liabilities</t>
        </is>
      </c>
      <c r="C14" s="19" t="n"/>
      <c r="D14" s="15" t="inlineStr">
        <is>
          <t>[Balance Sheet]</t>
        </is>
      </c>
    </row>
    <row r="15" ht="15" customHeight="1" s="45">
      <c r="B15" s="20" t="inlineStr">
        <is>
          <t xml:space="preserve">         Total change in working capital</t>
        </is>
      </c>
      <c r="C15" s="21">
        <f>SUM(C10:C14)</f>
        <v/>
      </c>
      <c r="D15" s="15" t="n"/>
    </row>
    <row r="16" ht="16.5" customHeight="1" s="45">
      <c r="B16" s="5" t="inlineStr">
        <is>
          <t xml:space="preserve">   Cash provided by operations</t>
        </is>
      </c>
      <c r="C16" s="22">
        <f>C7+C8+C15</f>
        <v/>
      </c>
      <c r="D16" s="15" t="n"/>
    </row>
    <row r="17">
      <c r="D17" s="15" t="n"/>
    </row>
    <row r="18" ht="15" customHeight="1" s="45">
      <c r="B18" s="18" t="inlineStr">
        <is>
          <t>Investments:</t>
        </is>
      </c>
      <c r="D18" s="15" t="n"/>
    </row>
    <row r="19" ht="15" customHeight="1" s="45">
      <c r="B19" s="12" t="inlineStr">
        <is>
          <t>Capital expenditures</t>
        </is>
      </c>
      <c r="C19" s="19" t="n"/>
      <c r="D19" s="15" t="n"/>
    </row>
    <row r="20" ht="15" customHeight="1" s="45">
      <c r="B20" s="12" t="inlineStr">
        <is>
          <t>plus Sales (acquisitions) of long-term assets</t>
        </is>
      </c>
      <c r="C20" s="19" t="n"/>
      <c r="D20" s="15" t="n"/>
    </row>
    <row r="21" ht="15" customHeight="1" s="45">
      <c r="B21" s="12" t="inlineStr">
        <is>
          <t>plus Other investing activities</t>
        </is>
      </c>
      <c r="C21" s="19" t="n"/>
      <c r="D21" s="15" t="n"/>
    </row>
    <row r="22" ht="16.5" customHeight="1" s="45">
      <c r="B22" s="5" t="inlineStr">
        <is>
          <t xml:space="preserve">   Cash provided by (used for) investments</t>
        </is>
      </c>
      <c r="C22" s="22">
        <f>SUM(C19:C21)</f>
        <v/>
      </c>
      <c r="D22" s="15" t="n"/>
    </row>
    <row r="23">
      <c r="D23" s="15" t="n"/>
    </row>
    <row r="24" ht="15" customHeight="1" s="45">
      <c r="B24" s="18" t="inlineStr">
        <is>
          <t>Financing activities:</t>
        </is>
      </c>
      <c r="D24" s="15" t="n"/>
    </row>
    <row r="25" ht="15" customHeight="1" s="45">
      <c r="B25" s="12" t="inlineStr">
        <is>
          <t>Increase (decrease) in short-term debt</t>
        </is>
      </c>
      <c r="C25" s="19" t="n"/>
      <c r="D25" s="15" t="n"/>
    </row>
    <row r="26" ht="15" customHeight="1" s="45">
      <c r="B26" s="12" t="inlineStr">
        <is>
          <t>plus Increase (decrease) in long-term debt</t>
        </is>
      </c>
      <c r="C26" s="19" t="n"/>
      <c r="D26" s="15" t="n"/>
    </row>
    <row r="27" ht="15" customHeight="1" s="45">
      <c r="B27" s="12" t="inlineStr">
        <is>
          <t>plus Dividends paid</t>
        </is>
      </c>
      <c r="C27" s="19" t="n"/>
      <c r="D27" s="15" t="n"/>
    </row>
    <row r="28" ht="15" customHeight="1" s="45">
      <c r="B28" s="12" t="inlineStr">
        <is>
          <t>plus Issues (repurchases) of stock</t>
        </is>
      </c>
      <c r="C28" s="19" t="n"/>
      <c r="D28" s="15" t="n"/>
    </row>
    <row r="29" ht="15" customHeight="1" s="45">
      <c r="B29" s="12" t="inlineStr">
        <is>
          <t>plus Other</t>
        </is>
      </c>
      <c r="C29" s="19" t="n"/>
      <c r="D29" s="15" t="n"/>
    </row>
    <row r="30" ht="16.5" customHeight="1" s="45">
      <c r="B30" s="5" t="inlineStr">
        <is>
          <t xml:space="preserve">   Cash provided by (used for) financing</t>
        </is>
      </c>
      <c r="C30" s="22">
        <f>SUM(C25:C29)</f>
        <v/>
      </c>
      <c r="D30" s="15" t="n"/>
    </row>
    <row r="31">
      <c r="D31" s="15" t="n"/>
    </row>
    <row r="32" ht="16.5" customHeight="1" s="45">
      <c r="B32" s="5" t="inlineStr">
        <is>
          <t>Net increase (decrease) in cash</t>
        </is>
      </c>
      <c r="C32" s="22">
        <f>C16+C22+C30</f>
        <v/>
      </c>
      <c r="D32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76"/>
  <sheetViews>
    <sheetView showGridLines="0" tabSelected="1" workbookViewId="0">
      <pane xSplit="1" ySplit="5" topLeftCell="B37" activePane="bottomRight" state="frozen"/>
      <selection pane="topRight" activeCell="A1" sqref="A1"/>
      <selection pane="bottomLeft" activeCell="A1" sqref="A1"/>
      <selection pane="bottomRight" activeCell="C37" sqref="C37"/>
    </sheetView>
  </sheetViews>
  <sheetFormatPr baseColWidth="8" defaultRowHeight="14.5"/>
  <cols>
    <col width="2" customWidth="1" style="45" min="1" max="1"/>
    <col width="44" customWidth="1" style="45" min="2" max="2"/>
    <col width="16" customWidth="1" style="45" min="3" max="3"/>
    <col width="62" customWidth="1" style="45" min="4" max="4"/>
    <col width="36" customWidth="1" style="45" min="5" max="5"/>
    <col width="28" customWidth="1" style="45" min="6" max="6"/>
  </cols>
  <sheetData>
    <row r="2" ht="23" customHeight="1" s="45">
      <c r="B2" s="14" t="inlineStr">
        <is>
          <t>Ratios &amp; Derived Inputs</t>
        </is>
      </c>
    </row>
    <row r="3">
      <c r="B3" s="15" t="inlineStr">
        <is>
          <t>Enter the four assumptions at top; all ratios populate automatically.</t>
        </is>
      </c>
    </row>
    <row r="5" ht="16.5" customHeight="1" s="45">
      <c r="B5" s="23" t="inlineStr">
        <is>
          <t>Metric</t>
        </is>
      </c>
      <c r="C5" s="23" t="inlineStr">
        <is>
          <t>Input</t>
        </is>
      </c>
      <c r="D5" s="23" t="inlineStr">
        <is>
          <t>Named Range Formula</t>
        </is>
      </c>
      <c r="E5" s="23" t="inlineStr">
        <is>
          <t>Named Range</t>
        </is>
      </c>
    </row>
    <row r="6" ht="15" customHeight="1" s="45">
      <c r="B6" s="12" t="inlineStr">
        <is>
          <t>Current fiscal year</t>
        </is>
      </c>
      <c r="C6" s="29" t="n">
        <v>2024</v>
      </c>
      <c r="D6" s="30" t="n"/>
      <c r="E6" s="30" t="inlineStr">
        <is>
          <t>yearCurrent</t>
        </is>
      </c>
    </row>
    <row r="7" ht="15" customHeight="1" s="45">
      <c r="B7" s="12" t="inlineStr">
        <is>
          <t>Start of year (prior)</t>
        </is>
      </c>
      <c r="C7" s="31">
        <f>yearCurrent-1</f>
        <v/>
      </c>
      <c r="D7" s="30" t="inlineStr">
        <is>
          <t>yearCurrent - 1</t>
        </is>
      </c>
      <c r="E7" s="30" t="inlineStr">
        <is>
          <t>yearStart</t>
        </is>
      </c>
    </row>
    <row r="8" ht="15" customHeight="1" s="45">
      <c r="B8" s="12" t="inlineStr">
        <is>
          <t>Share price</t>
        </is>
      </c>
      <c r="C8" s="32" t="n"/>
      <c r="D8" s="30" t="n"/>
      <c r="E8" s="30" t="inlineStr">
        <is>
          <t>share_price</t>
        </is>
      </c>
    </row>
    <row r="9" ht="15" customHeight="1" s="45">
      <c r="B9" s="12" t="inlineStr">
        <is>
          <t>Shares outstanding (M)</t>
        </is>
      </c>
      <c r="C9" s="33" t="n"/>
      <c r="D9" s="30" t="n"/>
      <c r="E9" s="30" t="inlineStr">
        <is>
          <t>shares_outstanding</t>
        </is>
      </c>
    </row>
    <row r="10" ht="15" customHeight="1" s="45">
      <c r="B10" s="12" t="inlineStr">
        <is>
          <t>Cost of capital</t>
        </is>
      </c>
      <c r="C10" s="34" t="n">
        <v>0.09</v>
      </c>
      <c r="D10" s="30" t="n"/>
      <c r="E10" s="30" t="inlineStr">
        <is>
          <t>cost_capital</t>
        </is>
      </c>
    </row>
    <row r="11" ht="15" customHeight="1" s="45">
      <c r="B11" s="12" t="inlineStr">
        <is>
          <t>Tax rate</t>
        </is>
      </c>
      <c r="C11" s="34" t="n">
        <v>0.21</v>
      </c>
      <c r="D11" s="30" t="n"/>
      <c r="E11" s="30" t="inlineStr">
        <is>
          <t>tax_rate</t>
        </is>
      </c>
    </row>
    <row r="12" ht="15" customHeight="1" s="45">
      <c r="B12" s="12" t="inlineStr">
        <is>
          <t>Market capitalization</t>
        </is>
      </c>
      <c r="C12" s="35">
        <f>share_price*shares_outstanding</f>
        <v/>
      </c>
      <c r="D12" s="30" t="inlineStr">
        <is>
          <t>share_price × shares_outstanding</t>
        </is>
      </c>
      <c r="E12" s="30" t="inlineStr">
        <is>
          <t>market_capitalization</t>
        </is>
      </c>
    </row>
    <row r="14" ht="16.5" customHeight="1" s="45">
      <c r="B14" s="44" t="inlineStr">
        <is>
          <t>── Start of Year (Prior-Year Balance Sheet) ──</t>
        </is>
      </c>
    </row>
    <row r="15" ht="15" customHeight="1" s="45">
      <c r="B15" s="12" t="inlineStr">
        <is>
          <t>Equity (start of year)</t>
        </is>
      </c>
      <c r="C15" s="36">
        <f>BAL_equity_shareholders_prior</f>
        <v/>
      </c>
      <c r="D15" s="30" t="inlineStr">
        <is>
          <t>BAL_equity_shareholders_prior</t>
        </is>
      </c>
      <c r="E15" s="30" t="inlineStr">
        <is>
          <t>startYear_equity</t>
        </is>
      </c>
    </row>
    <row r="16" ht="15" customHeight="1" s="45">
      <c r="B16" s="12" t="inlineStr">
        <is>
          <t>Inventories (start of year)</t>
        </is>
      </c>
      <c r="C16" s="36">
        <f>BAL_inventories_prior</f>
        <v/>
      </c>
      <c r="D16" s="30" t="inlineStr">
        <is>
          <t>BAL_inventories_prior</t>
        </is>
      </c>
      <c r="E16" s="30" t="inlineStr">
        <is>
          <t>startYear_inventory</t>
        </is>
      </c>
    </row>
    <row r="17" ht="15" customHeight="1" s="45">
      <c r="B17" s="12" t="inlineStr">
        <is>
          <t>Receivables (start of year)</t>
        </is>
      </c>
      <c r="C17" s="36">
        <f>BAL_receivables_prior</f>
        <v/>
      </c>
      <c r="D17" s="30" t="inlineStr">
        <is>
          <t>BAL_receivables_prior</t>
        </is>
      </c>
      <c r="E17" s="30" t="inlineStr">
        <is>
          <t>startYear_receivables</t>
        </is>
      </c>
    </row>
    <row r="18" ht="15" customHeight="1" s="45">
      <c r="B18" s="12" t="inlineStr">
        <is>
          <t>Total assets (start of year)</t>
        </is>
      </c>
      <c r="C18" s="36">
        <f>BAL_assets_total_prior</f>
        <v/>
      </c>
      <c r="D18" s="30" t="inlineStr">
        <is>
          <t>BAL_assets_total_prior</t>
        </is>
      </c>
      <c r="E18" s="30" t="inlineStr">
        <is>
          <t>startYear_total_assets</t>
        </is>
      </c>
    </row>
    <row r="19" ht="15" customHeight="1" s="45">
      <c r="B19" s="12" t="inlineStr">
        <is>
          <t>Total capitalization (start of year)</t>
        </is>
      </c>
      <c r="C19" s="36">
        <f>BAL_debt_long_term_prior+BAL_equity_shareholders_prior</f>
        <v/>
      </c>
      <c r="D19" s="30" t="inlineStr">
        <is>
          <t>BAL_debt_long_term_prior + BAL_equity_shareholders_prior</t>
        </is>
      </c>
      <c r="E19" s="30" t="inlineStr">
        <is>
          <t>startYear_total_capitalization</t>
        </is>
      </c>
    </row>
    <row r="21" ht="16.5" customHeight="1" s="45">
      <c r="B21" s="44" t="inlineStr">
        <is>
          <t>── Current Year (Derived) ──</t>
        </is>
      </c>
    </row>
    <row r="22" ht="15" customHeight="1" s="45">
      <c r="B22" s="12" t="inlineStr">
        <is>
          <t>After-tax operating income</t>
        </is>
      </c>
      <c r="C22" s="36">
        <f>INC_net+(1-tax_rate)*INC_interest_expense</f>
        <v/>
      </c>
      <c r="D22" s="30" t="inlineStr">
        <is>
          <t>INC_net + (1 − tax_rate) × INC_interest_expense</t>
        </is>
      </c>
      <c r="E22" s="30" t="inlineStr">
        <is>
          <t>currentYear_after_tax_operating_income</t>
        </is>
      </c>
    </row>
    <row r="23" ht="15" customHeight="1" s="45">
      <c r="B23" s="12" t="inlineStr">
        <is>
          <t>Average daily sales</t>
        </is>
      </c>
      <c r="C23" s="37">
        <f>IFERROR(INC_sales/365,"")</f>
        <v/>
      </c>
      <c r="D23" s="30" t="inlineStr">
        <is>
          <t>INC_sales / 365</t>
        </is>
      </c>
      <c r="E23" s="30" t="inlineStr">
        <is>
          <t>currentYear_daily_sales_average</t>
        </is>
      </c>
    </row>
    <row r="24" ht="15" customHeight="1" s="45">
      <c r="B24" s="12" t="inlineStr">
        <is>
          <t>Book value of equity</t>
        </is>
      </c>
      <c r="C24" s="36">
        <f>BAL_equity_shareholders_curr</f>
        <v/>
      </c>
      <c r="D24" s="30" t="inlineStr">
        <is>
          <t>BAL_equity_shareholders_curr</t>
        </is>
      </c>
      <c r="E24" s="30" t="inlineStr">
        <is>
          <t>currentYear_equity</t>
        </is>
      </c>
    </row>
    <row r="25" ht="15" customHeight="1" s="45">
      <c r="B25" s="12" t="inlineStr">
        <is>
          <t>Cash + Marketable securities</t>
        </is>
      </c>
      <c r="C25" s="36">
        <f>BAL_cash_marketable_securities_curr</f>
        <v/>
      </c>
      <c r="D25" s="30" t="inlineStr">
        <is>
          <t>BAL_cash_marketable_securities_curr</t>
        </is>
      </c>
      <c r="E25" s="30" t="inlineStr">
        <is>
          <t>currentYear_cash_marketable_securities</t>
        </is>
      </c>
    </row>
    <row r="26" ht="15" customHeight="1" s="45">
      <c r="B26" s="12" t="inlineStr">
        <is>
          <t>Current assets</t>
        </is>
      </c>
      <c r="C26" s="36">
        <f>BAL_assets_current_curr</f>
        <v/>
      </c>
      <c r="D26" s="30" t="inlineStr">
        <is>
          <t>BAL_assets_current_curr</t>
        </is>
      </c>
      <c r="E26" s="30" t="inlineStr">
        <is>
          <t>currentYear_assets_current</t>
        </is>
      </c>
    </row>
    <row r="27" ht="15" customHeight="1" s="45">
      <c r="B27" s="12" t="inlineStr">
        <is>
          <t>Current liabilities</t>
        </is>
      </c>
      <c r="C27" s="36">
        <f>BAL_liabilities_current_curr</f>
        <v/>
      </c>
      <c r="D27" s="30" t="inlineStr">
        <is>
          <t>BAL_liabilities_current_curr</t>
        </is>
      </c>
      <c r="E27" s="30" t="inlineStr">
        <is>
          <t>currentYear_liabilities_current</t>
        </is>
      </c>
    </row>
    <row r="28" ht="15" customHeight="1" s="45">
      <c r="B28" s="12" t="inlineStr">
        <is>
          <t>Daily COGS</t>
        </is>
      </c>
      <c r="C28" s="37">
        <f>IFERROR(INC_cost_goods_sold/365,"")</f>
        <v/>
      </c>
      <c r="D28" s="30" t="inlineStr">
        <is>
          <t>INC_cost_goods_sold / 365</t>
        </is>
      </c>
      <c r="E28" s="30" t="inlineStr">
        <is>
          <t>currentYear_cost_goods_sold_daily</t>
        </is>
      </c>
    </row>
    <row r="29" ht="15" customHeight="1" s="45">
      <c r="B29" s="12" t="inlineStr">
        <is>
          <t>Long-term debt</t>
        </is>
      </c>
      <c r="C29" s="36">
        <f>BAL_debt_long_term_curr</f>
        <v/>
      </c>
      <c r="D29" s="30" t="inlineStr">
        <is>
          <t>BAL_debt_long_term_curr</t>
        </is>
      </c>
      <c r="E29" s="30" t="inlineStr">
        <is>
          <t>currentYear_debt_long_term</t>
        </is>
      </c>
    </row>
    <row r="30" ht="15" customHeight="1" s="45">
      <c r="B30" s="12" t="inlineStr">
        <is>
          <t>Net working capital</t>
        </is>
      </c>
      <c r="C30" s="36">
        <f>BAL_assets_current_curr-BAL_liabilities_current_curr</f>
        <v/>
      </c>
      <c r="D30" s="30" t="inlineStr">
        <is>
          <t>BAL_assets_current_curr − BAL_liabilities_current_curr</t>
        </is>
      </c>
      <c r="E30" s="30" t="inlineStr">
        <is>
          <t>currentYear_working_capital_net</t>
        </is>
      </c>
    </row>
    <row r="31" ht="15" customHeight="1" s="45">
      <c r="B31" s="12" t="inlineStr">
        <is>
          <t>Total assets</t>
        </is>
      </c>
      <c r="C31" s="36">
        <f>BAL_assets_total_curr</f>
        <v/>
      </c>
      <c r="D31" s="30" t="inlineStr">
        <is>
          <t>BAL_assets_total_curr</t>
        </is>
      </c>
      <c r="E31" s="30" t="inlineStr">
        <is>
          <t>currentYear_assets_total</t>
        </is>
      </c>
    </row>
    <row r="32" ht="15" customHeight="1" s="45">
      <c r="B32" s="12" t="inlineStr">
        <is>
          <t>Total capitalization</t>
        </is>
      </c>
      <c r="C32" s="36">
        <f>BAL_debt_long_term_curr+BAL_equity_shareholders_curr</f>
        <v/>
      </c>
      <c r="D32" s="30" t="inlineStr">
        <is>
          <t>currentYear_debt_long_term + currentYear_equity</t>
        </is>
      </c>
      <c r="E32" s="30" t="inlineStr">
        <is>
          <t>currentYear_total_capitalization</t>
        </is>
      </c>
    </row>
    <row r="33" ht="15" customHeight="1" s="45">
      <c r="B33" s="12" t="inlineStr">
        <is>
          <t>Total liabilities</t>
        </is>
      </c>
      <c r="C33" s="36">
        <f>BAL_liabilities_total_curr</f>
        <v/>
      </c>
      <c r="D33" s="30" t="inlineStr">
        <is>
          <t>BAL_liabilities_total_curr</t>
        </is>
      </c>
      <c r="E33" s="30" t="inlineStr">
        <is>
          <t>currentYear_liabilities_total</t>
        </is>
      </c>
    </row>
    <row r="35" ht="16.5" customHeight="1" s="45">
      <c r="B35" s="44" t="inlineStr">
        <is>
          <t>── Mixed Year (Averages) ──</t>
        </is>
      </c>
    </row>
    <row r="36" ht="15" customHeight="1" s="45">
      <c r="B36" s="12" t="inlineStr">
        <is>
          <t>Average equity</t>
        </is>
      </c>
      <c r="C36" s="37">
        <f>AVERAGE(startYear_equity,currentYear_equity)</f>
        <v/>
      </c>
      <c r="D36" s="30" t="inlineStr">
        <is>
          <t>AVERAGE(startYear_equity, currentYear_equity)</t>
        </is>
      </c>
      <c r="E36" s="30" t="inlineStr">
        <is>
          <t>avg_equity</t>
        </is>
      </c>
    </row>
    <row r="37" ht="15" customHeight="1" s="45">
      <c r="B37" s="12" t="inlineStr">
        <is>
          <t>Average total assets</t>
        </is>
      </c>
      <c r="C37" s="37">
        <f>AVERAGE(startYear_total_assets,currentYear_assets_total)</f>
        <v/>
      </c>
      <c r="D37" s="30" t="inlineStr">
        <is>
          <t>AVERAGE(startYear_total_assets, currentYear_assets_total)</t>
        </is>
      </c>
      <c r="E37" s="30" t="inlineStr">
        <is>
          <t>avg_total_assets</t>
        </is>
      </c>
    </row>
    <row r="38" ht="15" customHeight="1" s="45">
      <c r="B38" s="12" t="inlineStr">
        <is>
          <t>Average total capitalization</t>
        </is>
      </c>
      <c r="C38" s="37">
        <f>AVERAGE(startYear_total_capitalization,currentYear_total_capitalization)</f>
        <v/>
      </c>
      <c r="D38" s="30" t="inlineStr">
        <is>
          <t>AVERAGE(startYear_total_capitalization, currentYear_total_capitalization)</t>
        </is>
      </c>
      <c r="E38" s="30" t="inlineStr">
        <is>
          <t>avg_total_capitalization</t>
        </is>
      </c>
    </row>
    <row r="41" ht="16.5" customHeight="1" s="45">
      <c r="B41" s="23" t="inlineStr">
        <is>
          <t>Ratio</t>
        </is>
      </c>
      <c r="C41" s="23" t="inlineStr">
        <is>
          <t>Output</t>
        </is>
      </c>
      <c r="D41" s="23" t="inlineStr">
        <is>
          <t>Named Range Formula (reference)</t>
        </is>
      </c>
      <c r="E41" s="23" t="inlineStr">
        <is>
          <t>Named Range</t>
        </is>
      </c>
      <c r="F41" s="23" t="inlineStr">
        <is>
          <t>Check</t>
        </is>
      </c>
    </row>
    <row r="42" ht="16.5" customHeight="1" s="45">
      <c r="B42" s="5" t="inlineStr">
        <is>
          <t>Performance</t>
        </is>
      </c>
      <c r="C42" s="1" t="n"/>
      <c r="D42" s="1" t="n"/>
      <c r="E42" s="1" t="n"/>
    </row>
    <row r="43" ht="15" customHeight="1" s="45">
      <c r="B43" s="12" t="inlineStr">
        <is>
          <t>Market value added (MVA)</t>
        </is>
      </c>
      <c r="C43" s="38" t="n"/>
      <c r="D43" s="30" t="inlineStr">
        <is>
          <t>market_capitalization − currentYear_equity</t>
        </is>
      </c>
      <c r="E43" s="30" t="n"/>
    </row>
    <row r="44" ht="15" customHeight="1" s="45">
      <c r="B44" s="12" t="inlineStr">
        <is>
          <t>Market-to-book ratio</t>
        </is>
      </c>
      <c r="C44" s="39" t="n"/>
      <c r="D44" s="30" t="inlineStr">
        <is>
          <t>market_capitalization / currentYear_equity</t>
        </is>
      </c>
      <c r="E44" s="30" t="n"/>
    </row>
    <row r="45" ht="15" customHeight="1" s="45">
      <c r="B45" s="12" t="inlineStr">
        <is>
          <t>Economic value added (EVA)</t>
        </is>
      </c>
      <c r="C45" s="38" t="n"/>
      <c r="D45" s="30" t="inlineStr">
        <is>
          <t>currentYear_after_tax_operating_income − (cost_capital × startYear_total_capitalization)</t>
        </is>
      </c>
      <c r="E45" s="30" t="n"/>
    </row>
    <row r="46" ht="16.5" customHeight="1" s="45">
      <c r="B46" s="5" t="inlineStr">
        <is>
          <t>Profitability</t>
        </is>
      </c>
      <c r="C46" s="1" t="n"/>
      <c r="D46" s="1" t="n"/>
      <c r="E46" s="1" t="n"/>
    </row>
    <row r="47" ht="15" customHeight="1" s="45">
      <c r="B47" s="12" t="inlineStr">
        <is>
          <t>Return on assets (ROA)</t>
        </is>
      </c>
      <c r="C47" s="40" t="n"/>
      <c r="D47" s="30" t="inlineStr">
        <is>
          <t>currentYear_after_tax_operating_income / startYear_total_assets</t>
        </is>
      </c>
      <c r="E47" s="30" t="n"/>
    </row>
    <row r="48" ht="15" customHeight="1" s="45">
      <c r="B48" s="12" t="inlineStr">
        <is>
          <t>Return on capital (ROC)</t>
        </is>
      </c>
      <c r="C48" s="40" t="n"/>
      <c r="D48" s="30" t="inlineStr">
        <is>
          <t>currentYear_after_tax_operating_income / startYear_total_capitalization</t>
        </is>
      </c>
      <c r="E48" s="30" t="n"/>
    </row>
    <row r="49" ht="15" customHeight="1" s="45">
      <c r="B49" s="12" t="inlineStr">
        <is>
          <t>Return on equity (ROE)</t>
        </is>
      </c>
      <c r="C49" s="40" t="n"/>
      <c r="D49" s="30" t="inlineStr">
        <is>
          <t>INC_net / startYear_equity</t>
        </is>
      </c>
      <c r="E49" s="30" t="n"/>
    </row>
    <row r="50" ht="15" customHeight="1" s="45">
      <c r="B50" s="12" t="inlineStr">
        <is>
          <t>Return on assets (ROA) [avg]</t>
        </is>
      </c>
      <c r="C50" s="40" t="n"/>
      <c r="D50" s="30" t="inlineStr">
        <is>
          <t>currentYear_after_tax_operating_income / avg_total_assets</t>
        </is>
      </c>
      <c r="E50" s="30" t="n"/>
    </row>
    <row r="51" ht="15" customHeight="1" s="45">
      <c r="B51" s="12" t="inlineStr">
        <is>
          <t>Return on capital (ROC) [avg]</t>
        </is>
      </c>
      <c r="C51" s="40" t="n"/>
      <c r="D51" s="30" t="inlineStr">
        <is>
          <t>currentYear_after_tax_operating_income / avg_total_capitalization</t>
        </is>
      </c>
      <c r="E51" s="30" t="n"/>
    </row>
    <row r="52" ht="15" customHeight="1" s="45">
      <c r="B52" s="12" t="inlineStr">
        <is>
          <t>Return on equity (ROE) [avg]</t>
        </is>
      </c>
      <c r="C52" s="40" t="n"/>
      <c r="D52" s="30" t="inlineStr">
        <is>
          <t>INC_net / avg_equity</t>
        </is>
      </c>
      <c r="E52" s="30" t="n"/>
    </row>
    <row r="53" ht="16.5" customHeight="1" s="45">
      <c r="B53" s="5" t="inlineStr">
        <is>
          <t>Efficiency</t>
        </is>
      </c>
      <c r="C53" s="1" t="n"/>
      <c r="D53" s="1" t="n"/>
      <c r="E53" s="1" t="n"/>
    </row>
    <row r="54" ht="15" customHeight="1" s="45">
      <c r="B54" s="12" t="inlineStr">
        <is>
          <t>Asset turnover</t>
        </is>
      </c>
      <c r="C54" s="39" t="n"/>
      <c r="D54" s="30" t="inlineStr">
        <is>
          <t>INC_sales / startYear_total_assets</t>
        </is>
      </c>
      <c r="E54" s="30" t="inlineStr">
        <is>
          <t>RATIO_asset_turnover</t>
        </is>
      </c>
    </row>
    <row r="55" ht="15" customHeight="1" s="45">
      <c r="B55" s="12" t="inlineStr">
        <is>
          <t>Receivables turnover</t>
        </is>
      </c>
      <c r="C55" s="39" t="n"/>
      <c r="D55" s="30" t="inlineStr">
        <is>
          <t>INC_sales / startYear_receivables</t>
        </is>
      </c>
      <c r="E55" s="30" t="n"/>
    </row>
    <row r="56" ht="15" customHeight="1" s="45">
      <c r="B56" s="12" t="inlineStr">
        <is>
          <t>Average collection period (days)</t>
        </is>
      </c>
      <c r="C56" s="41" t="n"/>
      <c r="D56" s="30" t="inlineStr">
        <is>
          <t>startYear_receivables / currentYear_daily_sales_average</t>
        </is>
      </c>
      <c r="E56" s="30" t="n"/>
    </row>
    <row r="57" ht="15" customHeight="1" s="45">
      <c r="B57" s="12" t="inlineStr">
        <is>
          <t>Inventory turnover</t>
        </is>
      </c>
      <c r="C57" s="39" t="n"/>
      <c r="D57" s="30" t="inlineStr">
        <is>
          <t>INC_cost_goods_sold / startYear_inventory</t>
        </is>
      </c>
      <c r="E57" s="30" t="n"/>
    </row>
    <row r="58" ht="15" customHeight="1" s="45">
      <c r="B58" s="12" t="inlineStr">
        <is>
          <t>Days in inventory</t>
        </is>
      </c>
      <c r="C58" s="41" t="n"/>
      <c r="D58" s="30" t="inlineStr">
        <is>
          <t>startYear_inventory / currentYear_cost_goods_sold_daily</t>
        </is>
      </c>
      <c r="E58" s="30" t="n"/>
    </row>
    <row r="59" ht="15" customHeight="1" s="45">
      <c r="B59" s="12" t="inlineStr">
        <is>
          <t>Profit margin</t>
        </is>
      </c>
      <c r="C59" s="40" t="n"/>
      <c r="D59" s="30" t="inlineStr">
        <is>
          <t>INC_net / INC_sales</t>
        </is>
      </c>
      <c r="E59" s="30" t="n"/>
    </row>
    <row r="60" ht="15" customHeight="1" s="45">
      <c r="B60" s="12" t="inlineStr">
        <is>
          <t>Operating profit margin</t>
        </is>
      </c>
      <c r="C60" s="40" t="n"/>
      <c r="D60" s="30" t="inlineStr">
        <is>
          <t>currentYear_after_tax_operating_income / INC_sales</t>
        </is>
      </c>
      <c r="E60" s="30" t="inlineStr">
        <is>
          <t>RATIO_operating_profit_margin</t>
        </is>
      </c>
    </row>
    <row r="61" ht="16.5" customHeight="1" s="45">
      <c r="B61" s="5" t="inlineStr">
        <is>
          <t>Leverage</t>
        </is>
      </c>
      <c r="C61" s="1" t="n"/>
      <c r="D61" s="1" t="n"/>
      <c r="E61" s="1" t="n"/>
    </row>
    <row r="62" ht="15" customHeight="1" s="45">
      <c r="B62" s="12" t="inlineStr">
        <is>
          <t>Long-term debt ratio</t>
        </is>
      </c>
      <c r="C62" s="40" t="n"/>
      <c r="D62" s="30" t="inlineStr">
        <is>
          <t>currentYear_debt_long_term / (currentYear_debt_long_term + currentYear_equity)</t>
        </is>
      </c>
      <c r="E62" s="30" t="n"/>
    </row>
    <row r="63" ht="15" customHeight="1" s="45">
      <c r="B63" s="12" t="inlineStr">
        <is>
          <t>Long-term debt-equity ratio</t>
        </is>
      </c>
      <c r="C63" s="39" t="n"/>
      <c r="D63" s="30" t="inlineStr">
        <is>
          <t>currentYear_debt_long_term / currentYear_equity</t>
        </is>
      </c>
      <c r="E63" s="30" t="n"/>
    </row>
    <row r="64" ht="15" customHeight="1" s="45">
      <c r="B64" s="12" t="inlineStr">
        <is>
          <t>Total debt ratio</t>
        </is>
      </c>
      <c r="C64" s="40" t="n"/>
      <c r="D64" s="30" t="inlineStr">
        <is>
          <t>currentYear_liabilities_total / currentYear_assets_total</t>
        </is>
      </c>
      <c r="E64" s="30" t="n"/>
    </row>
    <row r="65" ht="15" customHeight="1" s="45">
      <c r="B65" s="12" t="inlineStr">
        <is>
          <t>Times interest earned</t>
        </is>
      </c>
      <c r="C65" s="39" t="n"/>
      <c r="D65" s="30" t="inlineStr">
        <is>
          <t>INC_ebit / INC_interest_expense</t>
        </is>
      </c>
      <c r="E65" s="30" t="n"/>
    </row>
    <row r="66" ht="15" customHeight="1" s="45">
      <c r="B66" s="12" t="inlineStr">
        <is>
          <t>Cash coverage ratio</t>
        </is>
      </c>
      <c r="C66" s="39" t="n"/>
      <c r="D66" s="30" t="inlineStr">
        <is>
          <t>(INC_ebit + INC_depreciation) / INC_interest_expense</t>
        </is>
      </c>
      <c r="E66" s="30" t="n"/>
    </row>
    <row r="67" ht="15" customHeight="1" s="45">
      <c r="B67" s="12" t="inlineStr">
        <is>
          <t>Debt burden</t>
        </is>
      </c>
      <c r="C67" s="42" t="n"/>
      <c r="D67" s="30" t="inlineStr">
        <is>
          <t>INC_net / currentYear_after_tax_operating_income</t>
        </is>
      </c>
      <c r="E67" s="30" t="inlineStr">
        <is>
          <t>RATIO_debt_burden</t>
        </is>
      </c>
    </row>
    <row r="68" ht="15" customHeight="1" s="45">
      <c r="B68" s="12" t="inlineStr">
        <is>
          <t>Leverage ratio</t>
        </is>
      </c>
      <c r="C68" s="39" t="n"/>
      <c r="D68" s="30" t="inlineStr">
        <is>
          <t>currentYear_assets_total / currentYear_equity</t>
        </is>
      </c>
      <c r="E68" s="30" t="inlineStr">
        <is>
          <t>RATIO_leverage</t>
        </is>
      </c>
    </row>
    <row r="69" ht="16.5" customHeight="1" s="45">
      <c r="B69" s="5" t="inlineStr">
        <is>
          <t>Liquidity</t>
        </is>
      </c>
      <c r="C69" s="1" t="n"/>
      <c r="D69" s="1" t="n"/>
      <c r="E69" s="1" t="n"/>
    </row>
    <row r="70" ht="15" customHeight="1" s="45">
      <c r="B70" s="12" t="inlineStr">
        <is>
          <t>Net working capital to assets</t>
        </is>
      </c>
      <c r="C70" s="40" t="n"/>
      <c r="D70" s="30" t="inlineStr">
        <is>
          <t>currentYear_working_capital_net / currentYear_assets_total</t>
        </is>
      </c>
      <c r="E70" s="30" t="n"/>
    </row>
    <row r="71" ht="15" customHeight="1" s="45">
      <c r="B71" s="12" t="inlineStr">
        <is>
          <t>Current ratio</t>
        </is>
      </c>
      <c r="C71" s="39" t="n"/>
      <c r="D71" s="30" t="inlineStr">
        <is>
          <t>currentYear_assets_current / currentYear_liabilities_current</t>
        </is>
      </c>
      <c r="E71" s="30" t="n"/>
    </row>
    <row r="72" ht="15" customHeight="1" s="45">
      <c r="B72" s="12" t="inlineStr">
        <is>
          <t>Quick ratio</t>
        </is>
      </c>
      <c r="C72" s="39" t="n"/>
      <c r="D72" s="30" t="inlineStr">
        <is>
          <t>(currentYear_cash_marketable_securities + BAL_receivables_curr) / currentYear_liabilities_current</t>
        </is>
      </c>
      <c r="E72" s="30" t="n"/>
    </row>
    <row r="73" ht="15" customHeight="1" s="45">
      <c r="B73" s="12" t="inlineStr">
        <is>
          <t>Cash ratio</t>
        </is>
      </c>
      <c r="C73" s="39" t="n"/>
      <c r="D73" s="30" t="inlineStr">
        <is>
          <t>currentYear_cash_marketable_securities / currentYear_liabilities_current</t>
        </is>
      </c>
      <c r="E73" s="30" t="n"/>
    </row>
    <row r="74" ht="16.5" customHeight="1" s="45">
      <c r="B74" s="5" t="inlineStr">
        <is>
          <t>Du Pont System</t>
        </is>
      </c>
      <c r="C74" s="1" t="n"/>
      <c r="D74" s="1" t="n"/>
      <c r="E74" s="1" t="n"/>
    </row>
    <row r="75" ht="15" customHeight="1" s="45">
      <c r="B75" s="12" t="inlineStr">
        <is>
          <t>Return on assets (Du Pont)</t>
        </is>
      </c>
      <c r="C75" s="40" t="n"/>
      <c r="D75" s="30" t="inlineStr">
        <is>
          <t>RATIO_asset_turnover × RATIO_operating_profit_margin</t>
        </is>
      </c>
      <c r="E75" s="30" t="n"/>
      <c r="F75" s="51">
        <f>IF(OR(C75="",C47=""),"",IF(ROUND(C75,6)=ROUND(C47,6),"✓ matches direct ROA","✗ differs by "&amp;TEXT(ABS(C75-C47),"0.00%")))</f>
        <v/>
      </c>
    </row>
    <row r="76" ht="15" customHeight="1" s="45">
      <c r="B76" s="12" t="inlineStr">
        <is>
          <t>Return on equity (Du Pont)</t>
        </is>
      </c>
      <c r="C76" s="40" t="n"/>
      <c r="D76" s="30" t="inlineStr">
        <is>
          <t>RATIO_leverage × RATIO_asset_turnover × RATIO_operating_profit_margin × RATIO_debt_burden</t>
        </is>
      </c>
      <c r="E76" s="30" t="n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C4" sqref="C4"/>
    </sheetView>
  </sheetViews>
  <sheetFormatPr baseColWidth="8" defaultRowHeight="14.5"/>
  <cols>
    <col width="3.90625" customWidth="1" style="45" min="1" max="1"/>
    <col width="28" customWidth="1" style="45" min="2" max="2"/>
    <col width="70" customWidth="1" style="45" min="3" max="3"/>
  </cols>
  <sheetData>
    <row r="2" ht="23" customHeight="1" s="45">
      <c r="B2" s="14" t="inlineStr">
        <is>
          <t>Notes &amp; Assumptions</t>
        </is>
      </c>
    </row>
    <row r="4">
      <c r="B4" s="43" t="inlineStr">
        <is>
          <t>Company</t>
        </is>
      </c>
      <c r="C4" s="4" t="inlineStr">
        <is>
          <t>[Your Company Name]</t>
        </is>
      </c>
    </row>
    <row r="5">
      <c r="B5" s="43" t="inlineStr">
        <is>
          <t>Ticker</t>
        </is>
      </c>
      <c r="C5" s="4" t="inlineStr">
        <is>
          <t>[TICKER]</t>
        </is>
      </c>
    </row>
    <row r="6">
      <c r="B6" s="43" t="inlineStr">
        <is>
          <t>Industry</t>
        </is>
      </c>
      <c r="C6" s="4" t="inlineStr">
        <is>
          <t>[Industry]</t>
        </is>
      </c>
    </row>
    <row r="7">
      <c r="B7" s="43" t="inlineStr">
        <is>
          <t>Fiscal Year (current)</t>
        </is>
      </c>
      <c r="C7" s="4" t="inlineStr">
        <is>
          <t>[FYYYYY]</t>
        </is>
      </c>
    </row>
    <row r="8">
      <c r="B8" s="43" t="inlineStr">
        <is>
          <t>Fiscal Year (prior)</t>
        </is>
      </c>
      <c r="C8" s="4" t="inlineStr">
        <is>
          <t>[FYYYYY]</t>
        </is>
      </c>
    </row>
    <row r="9">
      <c r="B9" s="43" t="inlineStr">
        <is>
          <t>Data Source</t>
        </is>
      </c>
      <c r="C9" s="4" t="inlineStr">
        <is>
          <t>[SEC EDGAR 10-K URL / Yahoo Finance / etc.]</t>
        </is>
      </c>
    </row>
    <row r="10">
      <c r="B10" s="43" t="inlineStr">
        <is>
          <t>Units</t>
        </is>
      </c>
      <c r="C10" s="4" t="inlineStr">
        <is>
          <t>All figures in $millions unless otherwise noted</t>
        </is>
      </c>
    </row>
    <row r="11">
      <c r="B11" s="43" t="inlineStr">
        <is>
          <t>Tax Rate</t>
        </is>
      </c>
      <c r="C11" s="4" t="inlineStr">
        <is>
          <t>[Statutory 21% / Effective rate from financials — and why]</t>
        </is>
      </c>
    </row>
    <row r="12">
      <c r="B12" s="43" t="inlineStr">
        <is>
          <t>Cost of Capital</t>
        </is>
      </c>
      <c r="C12" s="4" t="inlineStr">
        <is>
          <t>[X.X% — source/method, e.g., CAPM, class working WACC]</t>
        </is>
      </c>
    </row>
    <row r="13">
      <c r="B13" s="43" t="inlineStr">
        <is>
          <t>Share Price</t>
        </is>
      </c>
      <c r="C13" s="4" t="inlineStr">
        <is>
          <t>[FY-end closing price]</t>
        </is>
      </c>
    </row>
    <row r="14">
      <c r="B14" s="43" t="inlineStr">
        <is>
          <t>Shares Outstanding</t>
        </is>
      </c>
      <c r="C14" s="4" t="inlineStr">
        <is>
          <t>[M shares — diluted weighted avg]</t>
        </is>
      </c>
    </row>
    <row r="16">
      <c r="B16" s="43" t="inlineStr">
        <is>
          <t>BUS-629 Project Use</t>
        </is>
      </c>
      <c r="C16" s="4" t="inlineStr">
        <is>
          <t>Template for the Accounting &amp; Performance Ratios project</t>
        </is>
      </c>
    </row>
    <row r="17" ht="29" customHeight="1" s="45">
      <c r="B17" s="43" t="inlineStr">
        <is>
          <t>Stage 2 Task</t>
        </is>
      </c>
      <c r="C17" s="4" t="inlineStr">
        <is>
          <t>Upload your copy of this template to your repo at models/templates/.</t>
        </is>
      </c>
    </row>
    <row r="18" ht="29" customHeight="1" s="45">
      <c r="B18" s="43" t="inlineStr">
        <is>
          <t>Stage 3 Task</t>
        </is>
      </c>
      <c r="C18" s="4" t="inlineStr">
        <is>
          <t>Populate Balance Sheet, Income Statement, and Cash Flow with your selected company’s figures; enter the four assumptions on the Ratios tab; then compute all ratios in column C using the named-range formulas shown in column D.</t>
        </is>
      </c>
    </row>
    <row r="19" ht="29" customHeight="1" s="45">
      <c r="B19" s="43" t="inlineStr">
        <is>
          <t>Stage 4 Task</t>
        </is>
      </c>
      <c r="C19" s="4" t="inlineStr">
        <is>
          <t>Use an LLM to draft a technical specification (spec-template.md) covering this model and the analysis it should produce.</t>
        </is>
      </c>
    </row>
    <row r="20" ht="29" customHeight="1" s="45">
      <c r="B20" s="43" t="inlineStr">
        <is>
          <t>AI Usage</t>
        </is>
      </c>
      <c r="C20" s="4" t="inlineStr">
        <is>
          <t>Execute spec with LLM; evaluate output; ship final analysis as part of polished portfolio repo.</t>
        </is>
      </c>
    </row>
    <row r="22">
      <c r="B22" s="43" t="inlineStr">
        <is>
          <t>Self-checks</t>
        </is>
      </c>
    </row>
    <row r="23" ht="32" customHeight="1" s="45">
      <c r="B23" s="43" t="inlineStr">
        <is>
          <t>Du Pont ROA</t>
        </is>
      </c>
      <c r="C23" s="4" t="inlineStr">
        <is>
          <t>Du Pont ROA (Ratios!C75) is mathematically identical to direct ROA (Ratios!C47). The inline check on Ratios!F75 confirms the match — investigate any discrepancy before submitting.</t>
        </is>
      </c>
    </row>
    <row r="24" ht="45" customHeight="1" s="45">
      <c r="B24" s="43" t="inlineStr">
        <is>
          <t>Du Pont ROE</t>
        </is>
      </c>
      <c r="C24" s="4" t="inlineStr">
        <is>
          <t>Du Pont ROE (Ratios!C76) will not exactly equal direct ROE (Ratios!C49) in this model: the leverage component uses current-year balances while asset turnover uses prior-year assets. Explain this time-mismatch in your Stage 4 memo.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2026-04-24T19:43:19Z</dcterms:created>
  <dcterms:modified xmlns:dcterms="http://purl.org/dc/terms/" xmlns:xsi="http://www.w3.org/2001/XMLSchema-instance" xsi:type="dcterms:W3CDTF">2026-05-08T17:38:22Z</dcterms:modified>
  <cp:lastModifiedBy>Adam Stauffer</cp:lastModifiedBy>
</cp:coreProperties>
</file>