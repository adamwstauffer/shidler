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Data" sheetId="2" state="visible" r:id="rId4"/>
    <sheet name="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<sst xmlns="http://schemas.openxmlformats.org/spreadsheetml/2006/main" count="22" uniqueCount="21">
  <si>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Inputs (blue = typed)</t>
  </si>
  <si>
    <t xml:space="preserve">Price per plate ($)</t>
  </si>
  <si>
    <t xml:space="preserve">Daily fixed cost ($)</t>
  </si>
  <si>
    <t xml:space="preserve">Source: data/README.md (illustrative values)</t>
  </si>
  <si>
    <t xml:space="preserve">Batch</t>
  </si>
  <si>
    <t xml:space="preserve">Plates in batch</t>
  </si>
  <si>
    <t xml:space="preserve">Batch variable cost ($)</t>
  </si>
  <si>
    <t xml:space="preserve">Source: data/prep-batch-costs.csv</t>
  </si>
  <si>
    <t xml:space="preserve">Q (plates)</t>
  </si>
  <si>
    <t xml:space="preserve">TVC ($)</t>
  </si>
  <si>
    <t xml:space="preserve">TC ($)</t>
  </si>
  <si>
    <t xml:space="preserve">TR ($)</t>
  </si>
  <si>
    <t xml:space="preserve">Profit ($)</t>
  </si>
  <si>
    <t xml:space="preserve">MC / plate ($)</t>
  </si>
  <si>
    <t xml:space="preserve">MR / plate ($)</t>
  </si>
  <si>
    <t xml:space="preserve">Signal</t>
  </si>
  <si>
    <t xml:space="preserve">Summary</t>
  </si>
  <si>
    <t xml:space="preserve">Q* (max profit)</t>
  </si>
  <si>
    <t xml:space="preserve">Profit at Q*</t>
  </si>
  <si>
    <t xml:space="preserve">Q* (MR &gt;= MC rule)</t>
  </si>
  <si>
    <t xml:space="preserve">Rules agree?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</si>
</sst>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24731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2473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14</v>
      </c>
    </row>
    <row r="4" customFormat="false" ht="15" hidden="false" customHeight="false" outlineLevel="0" collapsed="false">
      <c r="A4" s="0" t="s">
        <v>2</v>
      </c>
      <c r="B4" s="2" t="n">
        <v>300</v>
      </c>
    </row>
    <row r="6" customFormat="false" ht="15" hidden="false" customHeight="false" outlineLevel="0" collapsed="false">
      <c r="A6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4</v>
      </c>
      <c r="B1" s="0" t="s">
        <v>5</v>
      </c>
      <c r="C1" s="0" t="s">
        <v>6</v>
      </c>
    </row>
    <row r="2" customFormat="false" ht="15" hidden="false" customHeight="false" outlineLevel="0" collapsed="false">
      <c r="A2" s="2" t="n">
        <v>1</v>
      </c>
      <c r="B2" s="2" t="n">
        <v>20</v>
      </c>
      <c r="C2" s="2" t="n">
        <v>120</v>
      </c>
    </row>
    <row r="3" customFormat="false" ht="15" hidden="false" customHeight="false" outlineLevel="0" collapsed="false">
      <c r="A3" s="2" t="n">
        <v>2</v>
      </c>
      <c r="B3" s="2" t="n">
        <v>20</v>
      </c>
      <c r="C3" s="2" t="n">
        <v>110</v>
      </c>
    </row>
    <row r="4" customFormat="false" ht="15" hidden="false" customHeight="false" outlineLevel="0" collapsed="false">
      <c r="A4" s="2" t="n">
        <v>3</v>
      </c>
      <c r="B4" s="2" t="n">
        <v>20</v>
      </c>
      <c r="C4" s="2" t="n">
        <v>105</v>
      </c>
    </row>
    <row r="5" customFormat="false" ht="15" hidden="false" customHeight="false" outlineLevel="0" collapsed="false">
      <c r="A5" s="2" t="n">
        <v>4</v>
      </c>
      <c r="B5" s="2" t="n">
        <v>20</v>
      </c>
      <c r="C5" s="2" t="n">
        <v>110</v>
      </c>
    </row>
    <row r="6" customFormat="false" ht="15" hidden="false" customHeight="false" outlineLevel="0" collapsed="false">
      <c r="A6" s="2" t="n">
        <v>5</v>
      </c>
      <c r="B6" s="2" t="n">
        <v>20</v>
      </c>
      <c r="C6" s="2" t="n">
        <v>130</v>
      </c>
    </row>
    <row r="7" customFormat="false" ht="15" hidden="false" customHeight="false" outlineLevel="0" collapsed="false">
      <c r="A7" s="2" t="n">
        <v>6</v>
      </c>
      <c r="B7" s="2" t="n">
        <v>20</v>
      </c>
      <c r="C7" s="2" t="n">
        <v>160</v>
      </c>
    </row>
    <row r="8" customFormat="false" ht="15" hidden="false" customHeight="false" outlineLevel="0" collapsed="false">
      <c r="A8" s="2" t="n">
        <v>7</v>
      </c>
      <c r="B8" s="2" t="n">
        <v>20</v>
      </c>
      <c r="C8" s="2" t="n">
        <v>200</v>
      </c>
    </row>
    <row r="9" customFormat="false" ht="15" hidden="false" customHeight="false" outlineLevel="0" collapsed="false">
      <c r="A9" s="2" t="n">
        <v>8</v>
      </c>
      <c r="B9" s="2" t="n">
        <v>20</v>
      </c>
      <c r="C9" s="2" t="n">
        <v>250</v>
      </c>
    </row>
    <row r="10" customFormat="false" ht="15" hidden="false" customHeight="false" outlineLevel="0" collapsed="false">
      <c r="A10" s="2" t="n">
        <v>9</v>
      </c>
      <c r="B10" s="2" t="n">
        <v>20</v>
      </c>
      <c r="C10" s="2" t="n">
        <v>310</v>
      </c>
    </row>
    <row r="11" customFormat="false" ht="15" hidden="false" customHeight="false" outlineLevel="0" collapsed="false">
      <c r="A11" s="2" t="n">
        <v>10</v>
      </c>
      <c r="B11" s="2" t="n">
        <v>20</v>
      </c>
      <c r="C11" s="2" t="n">
        <v>380</v>
      </c>
    </row>
    <row r="13" customFormat="false" ht="15" hidden="false" customHeight="false" outlineLevel="0" collapsed="false">
      <c r="A13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11"/>
    <col collapsed="false" customWidth="true" hidden="false" outlineLevel="0" max="8" min="7" style="0" width="15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3" t="s">
        <v>4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</row>
    <row r="2" customFormat="false" ht="15" hidden="false" customHeight="false" outlineLevel="0" collapsed="false">
      <c r="A2" s="0" t="n">
        <f aca="false">Data!A2</f>
        <v>1</v>
      </c>
      <c r="B2" s="0" t="n">
        <f aca="false">Data!B2</f>
        <v>20</v>
      </c>
      <c r="C2" s="4" t="n">
        <f aca="false">Data!C2</f>
        <v>120</v>
      </c>
      <c r="D2" s="4" t="n">
        <f aca="false">Inputs!$B$4+C2</f>
        <v>420</v>
      </c>
      <c r="E2" s="4" t="n">
        <f aca="false">Inputs!$B$3*B2</f>
        <v>280</v>
      </c>
      <c r="F2" s="4" t="n">
        <f aca="false">E2-D2</f>
        <v>-140</v>
      </c>
      <c r="G2" s="4" t="n">
        <f aca="false">Data!C2/Data!B2</f>
        <v>6</v>
      </c>
      <c r="H2" s="4" t="n">
        <f aca="false">Inputs!$B$3</f>
        <v>14</v>
      </c>
      <c r="I2" s="0" t="str">
        <f aca="false">IF(H2&gt;=G2,"Produce","Stop")</f>
        <v>Produce</v>
      </c>
    </row>
    <row r="3" customFormat="false" ht="15" hidden="false" customHeight="false" outlineLevel="0" collapsed="false">
      <c r="A3" s="0" t="n">
        <f aca="false">Data!A3</f>
        <v>2</v>
      </c>
      <c r="B3" s="0" t="n">
        <f aca="false">B2+Data!B3</f>
        <v>40</v>
      </c>
      <c r="C3" s="4" t="n">
        <f aca="false">C2+Data!C3</f>
        <v>230</v>
      </c>
      <c r="D3" s="4" t="n">
        <f aca="false">Inputs!$B$4+C3</f>
        <v>530</v>
      </c>
      <c r="E3" s="4" t="n">
        <f aca="false">Inputs!$B$3*B3</f>
        <v>560</v>
      </c>
      <c r="F3" s="4" t="n">
        <f aca="false">E3-D3</f>
        <v>30</v>
      </c>
      <c r="G3" s="4" t="n">
        <f aca="false">Data!C3/Data!B3</f>
        <v>5.5</v>
      </c>
      <c r="H3" s="4" t="n">
        <f aca="false">Inputs!$B$3</f>
        <v>14</v>
      </c>
      <c r="I3" s="0" t="str">
        <f aca="false">IF(H3&gt;=G3,"Produce","Stop")</f>
        <v>Produce</v>
      </c>
    </row>
    <row r="4" customFormat="false" ht="15" hidden="false" customHeight="false" outlineLevel="0" collapsed="false">
      <c r="A4" s="0" t="n">
        <f aca="false">Data!A4</f>
        <v>3</v>
      </c>
      <c r="B4" s="0" t="n">
        <f aca="false">B3+Data!B4</f>
        <v>60</v>
      </c>
      <c r="C4" s="4" t="n">
        <f aca="false">C3+Data!C4</f>
        <v>335</v>
      </c>
      <c r="D4" s="4" t="n">
        <f aca="false">Inputs!$B$4+C4</f>
        <v>635</v>
      </c>
      <c r="E4" s="4" t="n">
        <f aca="false">Inputs!$B$3*B4</f>
        <v>840</v>
      </c>
      <c r="F4" s="4" t="n">
        <f aca="false">E4-D4</f>
        <v>205</v>
      </c>
      <c r="G4" s="4" t="n">
        <f aca="false">Data!C4/Data!B4</f>
        <v>5.25</v>
      </c>
      <c r="H4" s="4" t="n">
        <f aca="false">Inputs!$B$3</f>
        <v>14</v>
      </c>
      <c r="I4" s="0" t="str">
        <f aca="false">IF(H4&gt;=G4,"Produce","Stop")</f>
        <v>Produce</v>
      </c>
    </row>
    <row r="5" customFormat="false" ht="15" hidden="false" customHeight="false" outlineLevel="0" collapsed="false">
      <c r="A5" s="0" t="n">
        <f aca="false">Data!A5</f>
        <v>4</v>
      </c>
      <c r="B5" s="0" t="n">
        <f aca="false">B4+Data!B5</f>
        <v>80</v>
      </c>
      <c r="C5" s="4" t="n">
        <f aca="false">C4+Data!C5</f>
        <v>445</v>
      </c>
      <c r="D5" s="4" t="n">
        <f aca="false">Inputs!$B$4+C5</f>
        <v>745</v>
      </c>
      <c r="E5" s="4" t="n">
        <f aca="false">Inputs!$B$3*B5</f>
        <v>1120</v>
      </c>
      <c r="F5" s="4" t="n">
        <f aca="false">E5-D5</f>
        <v>375</v>
      </c>
      <c r="G5" s="4" t="n">
        <f aca="false">Data!C5/Data!B5</f>
        <v>5.5</v>
      </c>
      <c r="H5" s="4" t="n">
        <f aca="false">Inputs!$B$3</f>
        <v>14</v>
      </c>
      <c r="I5" s="0" t="str">
        <f aca="false">IF(H5&gt;=G5,"Produce","Stop")</f>
        <v>Produce</v>
      </c>
    </row>
    <row r="6" customFormat="false" ht="15" hidden="false" customHeight="false" outlineLevel="0" collapsed="false">
      <c r="A6" s="0" t="n">
        <f aca="false">Data!A6</f>
        <v>5</v>
      </c>
      <c r="B6" s="0" t="n">
        <f aca="false">B5+Data!B6</f>
        <v>100</v>
      </c>
      <c r="C6" s="4" t="n">
        <f aca="false">C5+Data!C6</f>
        <v>575</v>
      </c>
      <c r="D6" s="4" t="n">
        <f aca="false">Inputs!$B$4+C6</f>
        <v>875</v>
      </c>
      <c r="E6" s="4" t="n">
        <f aca="false">Inputs!$B$3*B6</f>
        <v>1400</v>
      </c>
      <c r="F6" s="4" t="n">
        <f aca="false">E6-D6</f>
        <v>525</v>
      </c>
      <c r="G6" s="4" t="n">
        <f aca="false">Data!C6/Data!B6</f>
        <v>6.5</v>
      </c>
      <c r="H6" s="4" t="n">
        <f aca="false">Inputs!$B$3</f>
        <v>14</v>
      </c>
      <c r="I6" s="0" t="str">
        <f aca="false">IF(H6&gt;=G6,"Produce","Stop")</f>
        <v>Produce</v>
      </c>
    </row>
    <row r="7" customFormat="false" ht="15" hidden="false" customHeight="false" outlineLevel="0" collapsed="false">
      <c r="A7" s="0" t="n">
        <f aca="false">Data!A7</f>
        <v>6</v>
      </c>
      <c r="B7" s="0" t="n">
        <f aca="false">B6+Data!B7</f>
        <v>120</v>
      </c>
      <c r="C7" s="4" t="n">
        <f aca="false">C6+Data!C7</f>
        <v>735</v>
      </c>
      <c r="D7" s="4" t="n">
        <f aca="false">Inputs!$B$4+C7</f>
        <v>1035</v>
      </c>
      <c r="E7" s="4" t="n">
        <f aca="false">Inputs!$B$3*B7</f>
        <v>1680</v>
      </c>
      <c r="F7" s="4" t="n">
        <f aca="false">E7-D7</f>
        <v>645</v>
      </c>
      <c r="G7" s="4" t="n">
        <f aca="false">Data!C7/Data!B7</f>
        <v>8</v>
      </c>
      <c r="H7" s="4" t="n">
        <f aca="false">Inputs!$B$3</f>
        <v>14</v>
      </c>
      <c r="I7" s="0" t="str">
        <f aca="false">IF(H7&gt;=G7,"Produce","Stop")</f>
        <v>Produce</v>
      </c>
    </row>
    <row r="8" customFormat="false" ht="15" hidden="false" customHeight="false" outlineLevel="0" collapsed="false">
      <c r="A8" s="0" t="n">
        <f aca="false">Data!A8</f>
        <v>7</v>
      </c>
      <c r="B8" s="0" t="n">
        <f aca="false">B7+Data!B8</f>
        <v>140</v>
      </c>
      <c r="C8" s="4" t="n">
        <f aca="false">C7+Data!C8</f>
        <v>935</v>
      </c>
      <c r="D8" s="4" t="n">
        <f aca="false">Inputs!$B$4+C8</f>
        <v>1235</v>
      </c>
      <c r="E8" s="4" t="n">
        <f aca="false">Inputs!$B$3*B8</f>
        <v>1960</v>
      </c>
      <c r="F8" s="4" t="n">
        <f aca="false">E8-D8</f>
        <v>725</v>
      </c>
      <c r="G8" s="4" t="n">
        <f aca="false">Data!C8/Data!B8</f>
        <v>10</v>
      </c>
      <c r="H8" s="4" t="n">
        <f aca="false">Inputs!$B$3</f>
        <v>14</v>
      </c>
      <c r="I8" s="0" t="str">
        <f aca="false">IF(H8&gt;=G8,"Produce","Stop")</f>
        <v>Produce</v>
      </c>
    </row>
    <row r="9" customFormat="false" ht="15" hidden="false" customHeight="false" outlineLevel="0" collapsed="false">
      <c r="A9" s="0" t="n">
        <f aca="false">Data!A9</f>
        <v>8</v>
      </c>
      <c r="B9" s="0" t="n">
        <f aca="false">B8+Data!B9</f>
        <v>160</v>
      </c>
      <c r="C9" s="4" t="n">
        <f aca="false">C8+Data!C9</f>
        <v>1185</v>
      </c>
      <c r="D9" s="4" t="n">
        <f aca="false">Inputs!$B$4+C9</f>
        <v>1485</v>
      </c>
      <c r="E9" s="4" t="n">
        <f aca="false">Inputs!$B$3*B9</f>
        <v>2240</v>
      </c>
      <c r="F9" s="4" t="n">
        <f aca="false">E9-D9</f>
        <v>755</v>
      </c>
      <c r="G9" s="4" t="n">
        <f aca="false">Data!C9/Data!B9</f>
        <v>12.5</v>
      </c>
      <c r="H9" s="4" t="n">
        <f aca="false">Inputs!$B$3</f>
        <v>14</v>
      </c>
      <c r="I9" s="0" t="str">
        <f aca="false">IF(H9&gt;=G9,"Produce","Stop")</f>
        <v>Produce</v>
      </c>
    </row>
    <row r="10" customFormat="false" ht="15" hidden="false" customHeight="false" outlineLevel="0" collapsed="false">
      <c r="A10" s="0" t="n">
        <f aca="false">Data!A10</f>
        <v>9</v>
      </c>
      <c r="B10" s="0" t="n">
        <f aca="false">B9+Data!B10</f>
        <v>180</v>
      </c>
      <c r="C10" s="4" t="n">
        <f aca="false">C9+Data!C10</f>
        <v>1495</v>
      </c>
      <c r="D10" s="4" t="n">
        <f aca="false">Inputs!$B$4+C10</f>
        <v>1795</v>
      </c>
      <c r="E10" s="4" t="n">
        <f aca="false">Inputs!$B$3*B10</f>
        <v>2520</v>
      </c>
      <c r="F10" s="4" t="n">
        <f aca="false">E10-D10</f>
        <v>725</v>
      </c>
      <c r="G10" s="4" t="n">
        <f aca="false">Data!C10/Data!B10</f>
        <v>15.5</v>
      </c>
      <c r="H10" s="4" t="n">
        <f aca="false">Inputs!$B$3</f>
        <v>14</v>
      </c>
      <c r="I10" s="0" t="str">
        <f aca="false">IF(H10&gt;=G10,"Produce","Stop")</f>
        <v>Stop</v>
      </c>
    </row>
    <row r="11" customFormat="false" ht="15" hidden="false" customHeight="false" outlineLevel="0" collapsed="false">
      <c r="A11" s="0" t="n">
        <f aca="false">Data!A11</f>
        <v>10</v>
      </c>
      <c r="B11" s="0" t="n">
        <f aca="false">B10+Data!B11</f>
        <v>200</v>
      </c>
      <c r="C11" s="4" t="n">
        <f aca="false">C10+Data!C11</f>
        <v>1875</v>
      </c>
      <c r="D11" s="4" t="n">
        <f aca="false">Inputs!$B$4+C11</f>
        <v>2175</v>
      </c>
      <c r="E11" s="4" t="n">
        <f aca="false">Inputs!$B$3*B11</f>
        <v>2800</v>
      </c>
      <c r="F11" s="4" t="n">
        <f aca="false">E11-D11</f>
        <v>625</v>
      </c>
      <c r="G11" s="4" t="n">
        <f aca="false">Data!C11/Data!B11</f>
        <v>19</v>
      </c>
      <c r="H11" s="4" t="n">
        <f aca="false">Inputs!$B$3</f>
        <v>14</v>
      </c>
      <c r="I11" s="0" t="str">
        <f aca="false">IF(H11&gt;=G11,"Produce","Stop")</f>
        <v>Stop</v>
      </c>
    </row>
    <row r="13" customFormat="false" ht="15" hidden="false" customHeight="false" outlineLevel="0" collapsed="false">
      <c r="A13" s="1" t="s">
        <v>16</v>
      </c>
    </row>
    <row r="14" customFormat="false" ht="15" hidden="false" customHeight="false" outlineLevel="0" collapsed="false">
      <c r="A14" s="0" t="s">
        <v>17</v>
      </c>
      <c r="B14" s="0" t="n">
        <f aca="false">INDEX(B2:B11,MATCH(MAX(F2:F11),F2:F11,0))</f>
        <v>160</v>
      </c>
    </row>
    <row r="15" customFormat="false" ht="15" hidden="false" customHeight="false" outlineLevel="0" collapsed="false">
      <c r="A15" s="0" t="s">
        <v>18</v>
      </c>
      <c r="B15" s="0" t="n">
        <f aca="false">MAX(F2:F11)</f>
        <v>755</v>
      </c>
    </row>
    <row r="16" customFormat="false" ht="15" hidden="false" customHeight="false" outlineLevel="0" collapsed="false">
      <c r="A16" s="0" t="s">
        <v>19</v>
      </c>
      <c r="B16" s="0" t="n">
        <f aca="false">SUMIF(I2:I11,"Produce",Data!B2:B11)</f>
        <v>160</v>
      </c>
    </row>
    <row r="17" customFormat="false" ht="15" hidden="false" customHeight="false" outlineLevel="0" collapsed="false">
      <c r="A17" s="0" t="s">
        <v>20</v>
      </c>
      <c r="B17" s="0" t="str">
        <f aca="false">IF(B14=B16,"Yes","CHECK")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2026-10-02T22:27:38Z</dcterms:created>
  <dc:creator>openpyxl</dc:creator>
  <dc:description/>
  <dc:language>en-US</dc:language>
  <cp:lastModifiedBy/>
  <dcterms:modified xsi:type="dcterms:W3CDTF">2026-10-02T22:27:38Z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