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shidler\courses\BUS-620-Micro-And-Macro-Economics\ignore\in-progess\perfect-competition-marginal-costs\"/>
    </mc:Choice>
  </mc:AlternateContent>
  <xr:revisionPtr revIDLastSave="0" documentId="8_{11EB4AE3-DCC6-4C79-A1B8-2DBAF5C2BB43}" xr6:coauthVersionLast="47" xr6:coauthVersionMax="47" xr10:uidLastSave="{00000000-0000-0000-0000-000000000000}"/>
  <bookViews>
    <workbookView xWindow="-110" yWindow="-110" windowWidth="25820" windowHeight="15500" xr2:uid="{30463BD6-7DB9-4593-8432-5930CC4FCC2A}"/>
  </bookViews>
  <sheets>
    <sheet name="Optimize Profit" sheetId="1" r:id="rId1"/>
    <sheet name="Notes" sheetId="2" r:id="rId2"/>
  </sheets>
  <definedNames>
    <definedName name="costs_fixed">'Optimize Profit'!$C$3</definedName>
    <definedName name="costs_total">'Optimize Profit'!$M$17</definedName>
    <definedName name="decision_variables">'Optimize Profit'!$D$18:$D$20</definedName>
    <definedName name="dim_carrots">'Optimize Profit'!$K$12</definedName>
    <definedName name="dim_mesculun">'Optimize Profit'!$K$13</definedName>
    <definedName name="dim_tomatoes">'Optimize Profit'!$K$11</definedName>
    <definedName name="fert_carrotrs">'Optimize Profit'!$J$12</definedName>
    <definedName name="fert_mesculun">'Optimize Profit'!$J$13</definedName>
    <definedName name="fert_tomatoes">'Optimize Profit'!$J$11</definedName>
    <definedName name="labor_carrots">'Optimize Profit'!$F$19</definedName>
    <definedName name="labor_hrs_season">'Optimize Profit'!$D$6</definedName>
    <definedName name="labor_hrs_week">'Optimize Profit'!$C$6</definedName>
    <definedName name="labor_mesculun">'Optimize Profit'!$F$20</definedName>
    <definedName name="labor_perm_max">'Optimize Profit'!$D$12</definedName>
    <definedName name="labor_perm_min">'Optimize Profit'!$C$12</definedName>
    <definedName name="labor_temp_max">'Optimize Profit'!$D$13</definedName>
    <definedName name="labor_temp_min">'Optimize Profit'!$C$13</definedName>
    <definedName name="labor_tomatoes">'Optimize Profit'!$F$18:$F$18</definedName>
    <definedName name="labor_wk_carrots">'Optimize Profit'!$I$12</definedName>
    <definedName name="labor_wk_mesculun">'Optimize Profit'!$I$13</definedName>
    <definedName name="labor_wk_tomatoes">'Optimize Profit'!$I$11</definedName>
    <definedName name="labour_hrs">'Optimize Profit'!$F$17</definedName>
    <definedName name="max_carrot">'Optimize Profit'!$G$12</definedName>
    <definedName name="max_mesculun">'Optimize Profit'!$G$13</definedName>
    <definedName name="max_tomato">'Optimize Profit'!$G$11</definedName>
    <definedName name="num_perm">'Optimize Profit'!$G$17</definedName>
    <definedName name="num_temp">'Optimize Profit'!$H$17</definedName>
    <definedName name="output_profit">'Optimize Profit'!$N$17</definedName>
    <definedName name="perc_field_perm">'Optimize Profit'!$H$6</definedName>
    <definedName name="perc_field_temp">'Optimize Profit'!$H$7</definedName>
    <definedName name="q_beds">'Optimize Profit'!$D$17</definedName>
    <definedName name="q_carrot">'Optimize Profit'!$D$19</definedName>
    <definedName name="q_max_beds">'Optimize Profit'!$D$11</definedName>
    <definedName name="q_mesculun">'Optimize Profit'!$D$20</definedName>
    <definedName name="q_tomato">'Optimize Profit'!$D$18</definedName>
    <definedName name="rev_carrots">'Optimize Profit'!$H$12</definedName>
    <definedName name="rev_mesculun">'Optimize Profit'!$H$13</definedName>
    <definedName name="rev_tomatoes">'Optimize Profit'!$H$11</definedName>
    <definedName name="rev_total">'Optimize Profit'!$E$17</definedName>
    <definedName name="season_length">'Optimize Profit'!$C$2</definedName>
    <definedName name="solver_adj" localSheetId="0" hidden="1">'Optimize Profit'!$D$18:$D$20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'Optimize Profit'!$H$17</definedName>
    <definedName name="solver_lhs10" localSheetId="0" hidden="1">'Optimize Profit'!$D$18</definedName>
    <definedName name="solver_lhs2" localSheetId="0" hidden="1">'Optimize Profit'!$D$17</definedName>
    <definedName name="solver_lhs3" localSheetId="0" hidden="1">'Optimize Profit'!$D$17</definedName>
    <definedName name="solver_lhs4" localSheetId="0" hidden="1">'Optimize Profit'!$G$17</definedName>
    <definedName name="solver_lhs5" localSheetId="0" hidden="1">'Optimize Profit'!$D$19</definedName>
    <definedName name="solver_lhs6" localSheetId="0" hidden="1">'Optimize Profit'!$D$20</definedName>
    <definedName name="solver_lhs7" localSheetId="0" hidden="1">'Optimize Profit'!$D$20</definedName>
    <definedName name="solver_lhs8" localSheetId="0" hidden="1">'Optimize Profit'!$D$19</definedName>
    <definedName name="solver_lhs9" localSheetId="0" hidden="1">'Optimize Profit'!$D$18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10</definedName>
    <definedName name="solver_nwt" localSheetId="0" hidden="1">1</definedName>
    <definedName name="solver_opt" localSheetId="0" hidden="1">'Optimize Profit'!$N$17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10" localSheetId="0" hidden="1">4</definedName>
    <definedName name="solver_rel2" localSheetId="0" hidden="1">1</definedName>
    <definedName name="solver_rel3" localSheetId="0" hidden="1">3</definedName>
    <definedName name="solver_rel4" localSheetId="0" hidden="1">1</definedName>
    <definedName name="solver_rel5" localSheetId="0" hidden="1">4</definedName>
    <definedName name="solver_rel6" localSheetId="0" hidden="1">1</definedName>
    <definedName name="solver_rel7" localSheetId="0" hidden="1">4</definedName>
    <definedName name="solver_rel8" localSheetId="0" hidden="1">1</definedName>
    <definedName name="solver_rel9" localSheetId="0" hidden="1">1</definedName>
    <definedName name="solver_rhs1" localSheetId="0" hidden="1">labor_temp_max</definedName>
    <definedName name="solver_rhs10" localSheetId="0" hidden="1">"integer"</definedName>
    <definedName name="solver_rhs2" localSheetId="0" hidden="1">q_max_beds</definedName>
    <definedName name="solver_rhs3" localSheetId="0" hidden="1">1</definedName>
    <definedName name="solver_rhs4" localSheetId="0" hidden="1">labor_perm_max</definedName>
    <definedName name="solver_rhs5" localSheetId="0" hidden="1">"integer"</definedName>
    <definedName name="solver_rhs6" localSheetId="0" hidden="1">max_mesculun</definedName>
    <definedName name="solver_rhs7" localSheetId="0" hidden="1">"integer"</definedName>
    <definedName name="solver_rhs8" localSheetId="0" hidden="1">max_carrot</definedName>
    <definedName name="solver_rhs9" localSheetId="0" hidden="1">max_tomato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  <definedName name="wage_perm">'Optimize Profit'!$G$6</definedName>
    <definedName name="wage_temp">'Optimize Profit'!$G$7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1" i="1" l="1"/>
  <c r="P47" i="1"/>
  <c r="P24" i="1"/>
  <c r="J33" i="1"/>
  <c r="Q26" i="1"/>
  <c r="J18" i="1"/>
  <c r="L17" i="1"/>
  <c r="F18" i="1"/>
  <c r="D72" i="1"/>
  <c r="D73" i="1" s="1"/>
  <c r="Q73" i="1" s="1"/>
  <c r="D48" i="1"/>
  <c r="D49" i="1" s="1"/>
  <c r="Q49" i="1" s="1"/>
  <c r="D25" i="1"/>
  <c r="D26" i="1" s="1"/>
  <c r="E20" i="1"/>
  <c r="E19" i="1"/>
  <c r="D6" i="1"/>
  <c r="J12" i="1"/>
  <c r="J19" i="1" s="1"/>
  <c r="J13" i="1"/>
  <c r="J11" i="1"/>
  <c r="F24" i="1"/>
  <c r="D17" i="1"/>
  <c r="Q72" i="1" l="1"/>
  <c r="E18" i="1"/>
  <c r="E17" i="1" s="1"/>
  <c r="Q48" i="1"/>
  <c r="Q25" i="1"/>
  <c r="G24" i="1"/>
  <c r="H24" i="1" s="1"/>
  <c r="D50" i="1"/>
  <c r="D74" i="1"/>
  <c r="D27" i="1"/>
  <c r="F26" i="1"/>
  <c r="G26" i="1" s="1"/>
  <c r="F25" i="1"/>
  <c r="G25" i="1" s="1"/>
  <c r="F27" i="1" l="1"/>
  <c r="G27" i="1" s="1"/>
  <c r="Q74" i="1"/>
  <c r="D75" i="1"/>
  <c r="D51" i="1"/>
  <c r="Q50" i="1"/>
  <c r="Q27" i="1"/>
  <c r="D28" i="1"/>
  <c r="Q28" i="1" l="1"/>
  <c r="Q51" i="1"/>
  <c r="D52" i="1"/>
  <c r="D76" i="1"/>
  <c r="Q75" i="1"/>
  <c r="D29" i="1"/>
  <c r="Q29" i="1" s="1"/>
  <c r="F28" i="1"/>
  <c r="G28" i="1" s="1"/>
  <c r="F29" i="1" l="1"/>
  <c r="G29" i="1" s="1"/>
  <c r="D30" i="1"/>
  <c r="Q30" i="1" s="1"/>
  <c r="D77" i="1"/>
  <c r="Q76" i="1"/>
  <c r="D53" i="1"/>
  <c r="Q52" i="1"/>
  <c r="F30" i="1" l="1"/>
  <c r="G30" i="1" s="1"/>
  <c r="D31" i="1"/>
  <c r="F31" i="1" s="1"/>
  <c r="Q53" i="1"/>
  <c r="D54" i="1"/>
  <c r="D78" i="1"/>
  <c r="Q77" i="1"/>
  <c r="Q31" i="1" l="1"/>
  <c r="G31" i="1"/>
  <c r="D32" i="1"/>
  <c r="Q32" i="1" s="1"/>
  <c r="D79" i="1"/>
  <c r="Q78" i="1"/>
  <c r="D55" i="1"/>
  <c r="Q54" i="1"/>
  <c r="F32" i="1" l="1"/>
  <c r="G32" i="1" s="1"/>
  <c r="D33" i="1"/>
  <c r="Q33" i="1" s="1"/>
  <c r="Q55" i="1"/>
  <c r="D56" i="1"/>
  <c r="Q79" i="1"/>
  <c r="D80" i="1"/>
  <c r="F33" i="1" l="1"/>
  <c r="G33" i="1" s="1"/>
  <c r="D34" i="1"/>
  <c r="D35" i="1" s="1"/>
  <c r="Q80" i="1"/>
  <c r="D81" i="1"/>
  <c r="Q56" i="1"/>
  <c r="D57" i="1"/>
  <c r="F34" i="1" l="1"/>
  <c r="G34" i="1" s="1"/>
  <c r="Q34" i="1"/>
  <c r="D82" i="1"/>
  <c r="Q81" i="1"/>
  <c r="Q57" i="1"/>
  <c r="D58" i="1"/>
  <c r="F35" i="1"/>
  <c r="G35" i="1" s="1"/>
  <c r="J35" i="1"/>
  <c r="Q35" i="1"/>
  <c r="E35" i="1"/>
  <c r="D36" i="1"/>
  <c r="J81" i="1" a="1"/>
  <c r="J81" i="1" s="1"/>
  <c r="E81" i="1" a="1"/>
  <c r="E81" i="1" s="1"/>
  <c r="J80" i="1" a="1"/>
  <c r="J80" i="1" s="1"/>
  <c r="E80" i="1" a="1"/>
  <c r="E80" i="1" s="1"/>
  <c r="J79" i="1" a="1"/>
  <c r="J79" i="1" s="1"/>
  <c r="E79" i="1" a="1"/>
  <c r="E79" i="1" s="1"/>
  <c r="J78" i="1" a="1"/>
  <c r="J78" i="1" s="1"/>
  <c r="E78" i="1" a="1"/>
  <c r="E78" i="1" s="1"/>
  <c r="J77" i="1" a="1"/>
  <c r="J77" i="1" s="1"/>
  <c r="E77" i="1" a="1"/>
  <c r="E77" i="1" s="1"/>
  <c r="J76" i="1" a="1"/>
  <c r="J76" i="1" s="1"/>
  <c r="E76" i="1" a="1"/>
  <c r="E76" i="1" s="1"/>
  <c r="J75" i="1" a="1"/>
  <c r="J75" i="1" s="1"/>
  <c r="E75" i="1" a="1"/>
  <c r="E75" i="1" s="1"/>
  <c r="J74" i="1" a="1"/>
  <c r="J74" i="1" s="1"/>
  <c r="E74" i="1" a="1"/>
  <c r="E74" i="1" s="1"/>
  <c r="J73" i="1" a="1"/>
  <c r="J73" i="1" s="1"/>
  <c r="E73" i="1" a="1"/>
  <c r="E73" i="1" s="1"/>
  <c r="J72" i="1" a="1"/>
  <c r="J72" i="1" s="1"/>
  <c r="E72" i="1" a="1"/>
  <c r="E72" i="1" s="1"/>
  <c r="J71" i="1" a="1"/>
  <c r="J71" i="1" s="1"/>
  <c r="E71" i="1" a="1"/>
  <c r="E71" i="1" s="1"/>
  <c r="J57" i="1" a="1"/>
  <c r="J57" i="1" s="1"/>
  <c r="E57" i="1" a="1"/>
  <c r="E57" i="1" s="1"/>
  <c r="J56" i="1" a="1"/>
  <c r="J56" i="1" s="1"/>
  <c r="E56" i="1" a="1"/>
  <c r="E56" i="1" s="1"/>
  <c r="J55" i="1" a="1"/>
  <c r="J55" i="1" s="1"/>
  <c r="E55" i="1" a="1"/>
  <c r="E55" i="1" s="1"/>
  <c r="J54" i="1" a="1"/>
  <c r="J54" i="1" s="1"/>
  <c r="E54" i="1" a="1"/>
  <c r="E54" i="1" s="1"/>
  <c r="J53" i="1" a="1"/>
  <c r="J53" i="1" s="1"/>
  <c r="E53" i="1" a="1"/>
  <c r="E53" i="1" s="1"/>
  <c r="J52" i="1" a="1"/>
  <c r="J52" i="1" s="1"/>
  <c r="E52" i="1" a="1"/>
  <c r="E52" i="1" s="1"/>
  <c r="J51" i="1" a="1"/>
  <c r="J51" i="1" s="1"/>
  <c r="E51" i="1" a="1"/>
  <c r="E51" i="1" s="1"/>
  <c r="J50" i="1" a="1"/>
  <c r="J50" i="1" s="1"/>
  <c r="E50" i="1" a="1"/>
  <c r="E50" i="1" s="1"/>
  <c r="J49" i="1" a="1"/>
  <c r="J49" i="1" s="1"/>
  <c r="E49" i="1" a="1"/>
  <c r="E49" i="1" s="1"/>
  <c r="J48" i="1" a="1"/>
  <c r="J48" i="1" s="1"/>
  <c r="E48" i="1" a="1"/>
  <c r="E48" i="1" s="1"/>
  <c r="J47" i="1" a="1"/>
  <c r="J47" i="1" s="1"/>
  <c r="E47" i="1" a="1"/>
  <c r="E47" i="1" s="1"/>
  <c r="J34" i="1"/>
  <c r="E34" i="1"/>
  <c r="E33" i="1"/>
  <c r="J32" i="1"/>
  <c r="E32" i="1"/>
  <c r="J31" i="1"/>
  <c r="E31" i="1"/>
  <c r="J30" i="1"/>
  <c r="E30" i="1"/>
  <c r="J29" i="1"/>
  <c r="E29" i="1"/>
  <c r="J28" i="1"/>
  <c r="E28" i="1"/>
  <c r="J27" i="1"/>
  <c r="E27" i="1"/>
  <c r="J26" i="1"/>
  <c r="E26" i="1"/>
  <c r="J25" i="1"/>
  <c r="E25" i="1"/>
  <c r="J24" i="1"/>
  <c r="E24" i="1"/>
  <c r="D59" i="1" l="1"/>
  <c r="Q58" i="1"/>
  <c r="E58" i="1" a="1"/>
  <c r="E58" i="1" s="1"/>
  <c r="J58" i="1" a="1"/>
  <c r="J58" i="1" s="1"/>
  <c r="J82" i="1" a="1"/>
  <c r="J82" i="1" s="1"/>
  <c r="D83" i="1"/>
  <c r="E82" i="1" a="1"/>
  <c r="E82" i="1" s="1"/>
  <c r="Q82" i="1"/>
  <c r="H35" i="1"/>
  <c r="E36" i="1"/>
  <c r="F36" i="1"/>
  <c r="G36" i="1" s="1"/>
  <c r="J36" i="1"/>
  <c r="Q36" i="1"/>
  <c r="D37" i="1"/>
  <c r="E83" i="1" l="1" a="1"/>
  <c r="E83" i="1" s="1"/>
  <c r="J83" i="1" a="1"/>
  <c r="J83" i="1" s="1"/>
  <c r="D84" i="1"/>
  <c r="Q83" i="1"/>
  <c r="E59" i="1" a="1"/>
  <c r="E59" i="1" s="1"/>
  <c r="D60" i="1"/>
  <c r="J59" i="1" a="1"/>
  <c r="J59" i="1" s="1"/>
  <c r="Q59" i="1"/>
  <c r="H36" i="1"/>
  <c r="D38" i="1"/>
  <c r="E37" i="1"/>
  <c r="F37" i="1"/>
  <c r="G37" i="1" s="1"/>
  <c r="J37" i="1"/>
  <c r="Q37" i="1"/>
  <c r="E84" i="1" l="1" a="1"/>
  <c r="E84" i="1" s="1"/>
  <c r="D85" i="1"/>
  <c r="J84" i="1" a="1"/>
  <c r="J84" i="1" s="1"/>
  <c r="Q84" i="1"/>
  <c r="Q60" i="1"/>
  <c r="E60" i="1" a="1"/>
  <c r="E60" i="1" s="1"/>
  <c r="J60" i="1" a="1"/>
  <c r="J60" i="1" s="1"/>
  <c r="D61" i="1"/>
  <c r="H37" i="1"/>
  <c r="F38" i="1"/>
  <c r="G38" i="1" s="1"/>
  <c r="D39" i="1"/>
  <c r="J38" i="1"/>
  <c r="Q38" i="1"/>
  <c r="E38" i="1"/>
  <c r="J85" i="1" l="1" a="1"/>
  <c r="J85" i="1" s="1"/>
  <c r="Q85" i="1"/>
  <c r="E85" i="1" a="1"/>
  <c r="E85" i="1" s="1"/>
  <c r="D86" i="1"/>
  <c r="D62" i="1"/>
  <c r="J61" i="1" a="1"/>
  <c r="J61" i="1" s="1"/>
  <c r="Q61" i="1"/>
  <c r="E61" i="1" a="1"/>
  <c r="E61" i="1" s="1"/>
  <c r="D40" i="1"/>
  <c r="E39" i="1"/>
  <c r="F39" i="1"/>
  <c r="G39" i="1" s="1"/>
  <c r="J39" i="1"/>
  <c r="Q39" i="1"/>
  <c r="H38" i="1"/>
  <c r="E62" i="1" l="1" a="1"/>
  <c r="E62" i="1" s="1"/>
  <c r="D63" i="1"/>
  <c r="Q62" i="1"/>
  <c r="J62" i="1" a="1"/>
  <c r="J62" i="1" s="1"/>
  <c r="J86" i="1" a="1"/>
  <c r="J86" i="1" s="1"/>
  <c r="E86" i="1" a="1"/>
  <c r="E86" i="1" s="1"/>
  <c r="Q86" i="1"/>
  <c r="D87" i="1"/>
  <c r="H39" i="1"/>
  <c r="D41" i="1"/>
  <c r="E40" i="1"/>
  <c r="F40" i="1"/>
  <c r="G40" i="1" s="1"/>
  <c r="J40" i="1"/>
  <c r="Q40" i="1"/>
  <c r="J63" i="1" l="1" a="1"/>
  <c r="J63" i="1" s="1"/>
  <c r="Q63" i="1"/>
  <c r="D64" i="1"/>
  <c r="E63" i="1" a="1"/>
  <c r="E63" i="1" s="1"/>
  <c r="J87" i="1" a="1"/>
  <c r="J87" i="1" s="1"/>
  <c r="Q87" i="1"/>
  <c r="D88" i="1"/>
  <c r="E87" i="1" a="1"/>
  <c r="E87" i="1" s="1"/>
  <c r="F41" i="1"/>
  <c r="G41" i="1" s="1"/>
  <c r="J41" i="1"/>
  <c r="Q41" i="1"/>
  <c r="D42" i="1"/>
  <c r="E41" i="1"/>
  <c r="H40" i="1"/>
  <c r="J64" i="1" l="1" a="1"/>
  <c r="J64" i="1" s="1"/>
  <c r="E64" i="1" a="1"/>
  <c r="E64" i="1" s="1"/>
  <c r="Q64" i="1"/>
  <c r="D65" i="1"/>
  <c r="D89" i="1"/>
  <c r="E88" i="1" a="1"/>
  <c r="E88" i="1" s="1"/>
  <c r="J88" i="1" a="1"/>
  <c r="J88" i="1" s="1"/>
  <c r="Q88" i="1"/>
  <c r="H41" i="1"/>
  <c r="E42" i="1"/>
  <c r="F42" i="1"/>
  <c r="G42" i="1" s="1"/>
  <c r="D43" i="1"/>
  <c r="J42" i="1"/>
  <c r="Q42" i="1"/>
  <c r="D90" i="1" l="1"/>
  <c r="D91" i="1" s="1"/>
  <c r="D92" i="1" s="1"/>
  <c r="D93" i="1" s="1"/>
  <c r="D94" i="1" s="1"/>
  <c r="D95" i="1" s="1"/>
  <c r="Q89" i="1"/>
  <c r="E89" i="1" a="1"/>
  <c r="E89" i="1" s="1"/>
  <c r="J89" i="1" a="1"/>
  <c r="J89" i="1" s="1"/>
  <c r="Q65" i="1"/>
  <c r="E65" i="1" a="1"/>
  <c r="E65" i="1" s="1"/>
  <c r="D66" i="1"/>
  <c r="J65" i="1" a="1"/>
  <c r="J65" i="1" s="1"/>
  <c r="H42" i="1"/>
  <c r="D44" i="1"/>
  <c r="E43" i="1"/>
  <c r="F43" i="1"/>
  <c r="G43" i="1" s="1"/>
  <c r="J43" i="1"/>
  <c r="Q43" i="1"/>
  <c r="Q95" i="1" l="1"/>
  <c r="J95" i="1" a="1"/>
  <c r="J95" i="1" s="1"/>
  <c r="D96" i="1"/>
  <c r="E95" i="1" a="1"/>
  <c r="E95" i="1" s="1"/>
  <c r="J66" i="1" a="1"/>
  <c r="J66" i="1" s="1"/>
  <c r="Q66" i="1"/>
  <c r="E66" i="1" a="1"/>
  <c r="E66" i="1" s="1"/>
  <c r="D67" i="1"/>
  <c r="D68" i="1" s="1"/>
  <c r="J90" i="1" a="1"/>
  <c r="J90" i="1" s="1"/>
  <c r="Q90" i="1"/>
  <c r="E90" i="1" a="1"/>
  <c r="E90" i="1" s="1"/>
  <c r="F44" i="1"/>
  <c r="G44" i="1" s="1"/>
  <c r="J44" i="1"/>
  <c r="Q44" i="1"/>
  <c r="E44" i="1"/>
  <c r="H43" i="1"/>
  <c r="J68" i="1" l="1" a="1"/>
  <c r="J68" i="1" s="1"/>
  <c r="Q68" i="1"/>
  <c r="E68" i="1" a="1"/>
  <c r="E68" i="1" s="1"/>
  <c r="D97" i="1"/>
  <c r="J96" i="1" a="1"/>
  <c r="J96" i="1" s="1"/>
  <c r="E96" i="1" a="1"/>
  <c r="E96" i="1" s="1"/>
  <c r="Q96" i="1"/>
  <c r="Q67" i="1"/>
  <c r="E67" i="1" a="1"/>
  <c r="E67" i="1" s="1"/>
  <c r="J67" i="1" a="1"/>
  <c r="J67" i="1" s="1"/>
  <c r="Q91" i="1"/>
  <c r="E91" i="1" a="1"/>
  <c r="E91" i="1" s="1"/>
  <c r="J91" i="1" a="1"/>
  <c r="J91" i="1" s="1"/>
  <c r="H44" i="1"/>
  <c r="D98" i="1" l="1"/>
  <c r="Q97" i="1"/>
  <c r="E97" i="1" a="1"/>
  <c r="E97" i="1" s="1"/>
  <c r="J97" i="1" a="1"/>
  <c r="J97" i="1" s="1"/>
  <c r="E94" i="1" a="1"/>
  <c r="E94" i="1" s="1"/>
  <c r="J94" i="1" a="1"/>
  <c r="J94" i="1" s="1"/>
  <c r="Q94" i="1"/>
  <c r="E93" i="1" a="1"/>
  <c r="E93" i="1" s="1"/>
  <c r="J93" i="1" a="1"/>
  <c r="J93" i="1" s="1"/>
  <c r="Q93" i="1"/>
  <c r="E92" i="1" a="1"/>
  <c r="E92" i="1" s="1"/>
  <c r="Q92" i="1"/>
  <c r="J92" i="1" a="1"/>
  <c r="J92" i="1" s="1"/>
  <c r="I12" i="1"/>
  <c r="F68" i="1" s="1"/>
  <c r="I13" i="1"/>
  <c r="F97" i="1" s="1"/>
  <c r="J20" i="1" a="1"/>
  <c r="J20" i="1" s="1"/>
  <c r="J17" i="1" s="1"/>
  <c r="G97" i="1" l="1"/>
  <c r="H97" i="1" s="1"/>
  <c r="G68" i="1"/>
  <c r="H68" i="1" s="1"/>
  <c r="E98" i="1" a="1"/>
  <c r="E98" i="1" s="1"/>
  <c r="Q98" i="1"/>
  <c r="F98" i="1"/>
  <c r="G98" i="1" s="1"/>
  <c r="J98" i="1" a="1"/>
  <c r="J98" i="1" s="1"/>
  <c r="D99" i="1"/>
  <c r="F92" i="1"/>
  <c r="G92" i="1" s="1"/>
  <c r="H92" i="1" s="1"/>
  <c r="F95" i="1"/>
  <c r="G95" i="1" s="1"/>
  <c r="H95" i="1" s="1"/>
  <c r="F96" i="1"/>
  <c r="F94" i="1"/>
  <c r="F93" i="1"/>
  <c r="F82" i="1"/>
  <c r="G82" i="1" s="1"/>
  <c r="F83" i="1"/>
  <c r="G83" i="1" s="1"/>
  <c r="F84" i="1"/>
  <c r="G84" i="1" s="1"/>
  <c r="F85" i="1"/>
  <c r="F86" i="1"/>
  <c r="G86" i="1" s="1"/>
  <c r="F87" i="1"/>
  <c r="G87" i="1" s="1"/>
  <c r="F88" i="1"/>
  <c r="G88" i="1" s="1"/>
  <c r="F89" i="1"/>
  <c r="G89" i="1" s="1"/>
  <c r="F90" i="1"/>
  <c r="G90" i="1" s="1"/>
  <c r="F91" i="1"/>
  <c r="F58" i="1"/>
  <c r="F59" i="1"/>
  <c r="G59" i="1" s="1"/>
  <c r="F60" i="1"/>
  <c r="G60" i="1" s="1"/>
  <c r="F61" i="1"/>
  <c r="G61" i="1" s="1"/>
  <c r="F62" i="1"/>
  <c r="G62" i="1" s="1"/>
  <c r="F63" i="1"/>
  <c r="G63" i="1" s="1"/>
  <c r="F64" i="1"/>
  <c r="F65" i="1"/>
  <c r="G65" i="1" s="1"/>
  <c r="F66" i="1"/>
  <c r="G66" i="1" s="1"/>
  <c r="F67" i="1"/>
  <c r="G67" i="1" s="1"/>
  <c r="F81" i="1"/>
  <c r="G81" i="1" s="1"/>
  <c r="F20" i="1"/>
  <c r="F71" i="1"/>
  <c r="G71" i="1" s="1"/>
  <c r="F72" i="1"/>
  <c r="G72" i="1" s="1"/>
  <c r="F73" i="1"/>
  <c r="G73" i="1" s="1"/>
  <c r="F74" i="1"/>
  <c r="G74" i="1" s="1"/>
  <c r="F79" i="1"/>
  <c r="G79" i="1" s="1"/>
  <c r="F75" i="1"/>
  <c r="G75" i="1" s="1"/>
  <c r="F76" i="1"/>
  <c r="G76" i="1" s="1"/>
  <c r="F77" i="1"/>
  <c r="G77" i="1" s="1"/>
  <c r="F78" i="1"/>
  <c r="G78" i="1" s="1"/>
  <c r="F80" i="1"/>
  <c r="G80" i="1" s="1"/>
  <c r="F47" i="1"/>
  <c r="G47" i="1" s="1"/>
  <c r="F19" i="1"/>
  <c r="F48" i="1"/>
  <c r="G48" i="1" s="1"/>
  <c r="F49" i="1"/>
  <c r="G49" i="1" s="1"/>
  <c r="F55" i="1"/>
  <c r="G55" i="1" s="1"/>
  <c r="F50" i="1"/>
  <c r="G50" i="1" s="1"/>
  <c r="F51" i="1"/>
  <c r="G51" i="1" s="1"/>
  <c r="F52" i="1"/>
  <c r="G52" i="1" s="1"/>
  <c r="F56" i="1"/>
  <c r="G56" i="1" s="1"/>
  <c r="F53" i="1"/>
  <c r="G53" i="1" s="1"/>
  <c r="F57" i="1"/>
  <c r="G57" i="1" s="1"/>
  <c r="F54" i="1"/>
  <c r="G54" i="1" s="1"/>
  <c r="H98" i="1" l="1"/>
  <c r="E99" i="1" a="1"/>
  <c r="E99" i="1" s="1"/>
  <c r="F99" i="1"/>
  <c r="G99" i="1" s="1"/>
  <c r="D100" i="1"/>
  <c r="J99" i="1" a="1"/>
  <c r="J99" i="1" s="1"/>
  <c r="Q99" i="1"/>
  <c r="G96" i="1"/>
  <c r="H96" i="1" s="1"/>
  <c r="G94" i="1"/>
  <c r="H94" i="1" s="1"/>
  <c r="G93" i="1"/>
  <c r="G64" i="1"/>
  <c r="H64" i="1" s="1"/>
  <c r="G85" i="1"/>
  <c r="H85" i="1" s="1"/>
  <c r="G58" i="1"/>
  <c r="H58" i="1" s="1"/>
  <c r="G91" i="1"/>
  <c r="H59" i="1"/>
  <c r="H90" i="1"/>
  <c r="H67" i="1"/>
  <c r="H89" i="1"/>
  <c r="H88" i="1"/>
  <c r="H65" i="1"/>
  <c r="H86" i="1"/>
  <c r="H66" i="1"/>
  <c r="H62" i="1"/>
  <c r="H84" i="1"/>
  <c r="H87" i="1"/>
  <c r="H61" i="1"/>
  <c r="H83" i="1"/>
  <c r="H60" i="1"/>
  <c r="H82" i="1"/>
  <c r="H76" i="1"/>
  <c r="H51" i="1"/>
  <c r="H54" i="1"/>
  <c r="H77" i="1"/>
  <c r="H72" i="1"/>
  <c r="H78" i="1"/>
  <c r="H75" i="1"/>
  <c r="H74" i="1"/>
  <c r="H48" i="1"/>
  <c r="H71" i="1"/>
  <c r="H80" i="1"/>
  <c r="H53" i="1"/>
  <c r="H52" i="1"/>
  <c r="H50" i="1"/>
  <c r="H55" i="1"/>
  <c r="H49" i="1"/>
  <c r="H26" i="1"/>
  <c r="H31" i="1"/>
  <c r="H30" i="1"/>
  <c r="H29" i="1"/>
  <c r="H32" i="1"/>
  <c r="H25" i="1"/>
  <c r="H34" i="1"/>
  <c r="H33" i="1"/>
  <c r="I33" i="1" s="1"/>
  <c r="K33" i="1" s="1"/>
  <c r="M33" i="1" s="1"/>
  <c r="H57" i="1"/>
  <c r="H56" i="1"/>
  <c r="H79" i="1"/>
  <c r="H73" i="1"/>
  <c r="H47" i="1"/>
  <c r="H81" i="1"/>
  <c r="G6" i="1"/>
  <c r="G7" i="1"/>
  <c r="I97" i="1" l="1"/>
  <c r="K97" i="1" s="1"/>
  <c r="M97" i="1" s="1"/>
  <c r="I96" i="1"/>
  <c r="K96" i="1" s="1"/>
  <c r="M96" i="1" s="1"/>
  <c r="N96" i="1" s="1"/>
  <c r="E100" i="1" a="1"/>
  <c r="E100" i="1" s="1"/>
  <c r="Q100" i="1"/>
  <c r="F100" i="1"/>
  <c r="G100" i="1" s="1"/>
  <c r="D101" i="1"/>
  <c r="J100" i="1" a="1"/>
  <c r="J100" i="1" s="1"/>
  <c r="H99" i="1"/>
  <c r="I99" i="1" s="1"/>
  <c r="K99" i="1" s="1"/>
  <c r="M99" i="1" s="1"/>
  <c r="I98" i="1"/>
  <c r="K98" i="1" s="1"/>
  <c r="M98" i="1" s="1"/>
  <c r="I68" i="1"/>
  <c r="K68" i="1" s="1"/>
  <c r="M68" i="1" s="1"/>
  <c r="I95" i="1"/>
  <c r="K95" i="1" s="1"/>
  <c r="M95" i="1" s="1"/>
  <c r="I94" i="1"/>
  <c r="K94" i="1" s="1"/>
  <c r="M94" i="1" s="1"/>
  <c r="I59" i="1"/>
  <c r="K59" i="1" s="1"/>
  <c r="M59" i="1" s="1"/>
  <c r="N59" i="1" s="1"/>
  <c r="I87" i="1"/>
  <c r="K87" i="1" s="1"/>
  <c r="M87" i="1" s="1"/>
  <c r="I84" i="1"/>
  <c r="K84" i="1" s="1"/>
  <c r="M84" i="1" s="1"/>
  <c r="H93" i="1"/>
  <c r="I93" i="1" s="1"/>
  <c r="K93" i="1" s="1"/>
  <c r="M93" i="1" s="1"/>
  <c r="O93" i="1" s="1"/>
  <c r="H91" i="1"/>
  <c r="I91" i="1" s="1"/>
  <c r="K91" i="1" s="1"/>
  <c r="M91" i="1" s="1"/>
  <c r="I64" i="1"/>
  <c r="K64" i="1" s="1"/>
  <c r="M64" i="1" s="1"/>
  <c r="I65" i="1"/>
  <c r="K65" i="1" s="1"/>
  <c r="M65" i="1" s="1"/>
  <c r="I82" i="1"/>
  <c r="K82" i="1" s="1"/>
  <c r="M82" i="1" s="1"/>
  <c r="I89" i="1"/>
  <c r="K89" i="1" s="1"/>
  <c r="M89" i="1" s="1"/>
  <c r="I60" i="1"/>
  <c r="K60" i="1" s="1"/>
  <c r="M60" i="1" s="1"/>
  <c r="I67" i="1"/>
  <c r="K67" i="1" s="1"/>
  <c r="M67" i="1" s="1"/>
  <c r="I83" i="1"/>
  <c r="K83" i="1" s="1"/>
  <c r="M83" i="1" s="1"/>
  <c r="I92" i="1"/>
  <c r="K92" i="1" s="1"/>
  <c r="M92" i="1" s="1"/>
  <c r="I88" i="1"/>
  <c r="K88" i="1" s="1"/>
  <c r="M88" i="1" s="1"/>
  <c r="I66" i="1"/>
  <c r="K66" i="1" s="1"/>
  <c r="M66" i="1" s="1"/>
  <c r="I62" i="1"/>
  <c r="K62" i="1" s="1"/>
  <c r="M62" i="1" s="1"/>
  <c r="I58" i="1"/>
  <c r="K58" i="1" s="1"/>
  <c r="M58" i="1" s="1"/>
  <c r="N58" i="1" s="1"/>
  <c r="I61" i="1"/>
  <c r="K61" i="1" s="1"/>
  <c r="M61" i="1" s="1"/>
  <c r="I85" i="1"/>
  <c r="K85" i="1" s="1"/>
  <c r="M85" i="1" s="1"/>
  <c r="H63" i="1"/>
  <c r="I63" i="1" s="1"/>
  <c r="K63" i="1" s="1"/>
  <c r="M63" i="1" s="1"/>
  <c r="I90" i="1"/>
  <c r="K90" i="1" s="1"/>
  <c r="M90" i="1" s="1"/>
  <c r="I86" i="1"/>
  <c r="K86" i="1" s="1"/>
  <c r="M86" i="1" s="1"/>
  <c r="I35" i="1"/>
  <c r="K35" i="1" s="1"/>
  <c r="M35" i="1" s="1"/>
  <c r="I36" i="1"/>
  <c r="K36" i="1" s="1"/>
  <c r="M36" i="1" s="1"/>
  <c r="I37" i="1"/>
  <c r="K37" i="1" s="1"/>
  <c r="M37" i="1" s="1"/>
  <c r="I38" i="1"/>
  <c r="K38" i="1" s="1"/>
  <c r="M38" i="1" s="1"/>
  <c r="I39" i="1"/>
  <c r="K39" i="1" s="1"/>
  <c r="M39" i="1" s="1"/>
  <c r="I40" i="1"/>
  <c r="K40" i="1" s="1"/>
  <c r="M40" i="1" s="1"/>
  <c r="I41" i="1"/>
  <c r="K41" i="1" s="1"/>
  <c r="M41" i="1" s="1"/>
  <c r="I42" i="1"/>
  <c r="K42" i="1" s="1"/>
  <c r="M42" i="1" s="1"/>
  <c r="I43" i="1"/>
  <c r="K43" i="1" s="1"/>
  <c r="M43" i="1" s="1"/>
  <c r="I44" i="1"/>
  <c r="K44" i="1" s="1"/>
  <c r="M44" i="1" s="1"/>
  <c r="H28" i="1"/>
  <c r="I28" i="1" s="1"/>
  <c r="H27" i="1"/>
  <c r="I27" i="1" s="1"/>
  <c r="K27" i="1" s="1"/>
  <c r="M27" i="1" s="1"/>
  <c r="I71" i="1"/>
  <c r="K71" i="1" s="1"/>
  <c r="M71" i="1" s="1"/>
  <c r="I47" i="1"/>
  <c r="K47" i="1" s="1"/>
  <c r="M47" i="1" s="1"/>
  <c r="N47" i="1" s="1"/>
  <c r="I32" i="1"/>
  <c r="K32" i="1" s="1"/>
  <c r="M32" i="1" s="1"/>
  <c r="I76" i="1"/>
  <c r="K76" i="1" s="1"/>
  <c r="M76" i="1" s="1"/>
  <c r="I50" i="1"/>
  <c r="K50" i="1" s="1"/>
  <c r="M50" i="1" s="1"/>
  <c r="I29" i="1"/>
  <c r="K29" i="1" s="1"/>
  <c r="M29" i="1" s="1"/>
  <c r="I51" i="1"/>
  <c r="K51" i="1" s="1"/>
  <c r="M51" i="1" s="1"/>
  <c r="I55" i="1"/>
  <c r="K55" i="1" s="1"/>
  <c r="M55" i="1" s="1"/>
  <c r="I26" i="1"/>
  <c r="K26" i="1" s="1"/>
  <c r="M26" i="1" s="1"/>
  <c r="I48" i="1"/>
  <c r="K48" i="1" s="1"/>
  <c r="M48" i="1" s="1"/>
  <c r="N48" i="1" s="1"/>
  <c r="I24" i="1"/>
  <c r="K24" i="1" s="1"/>
  <c r="M24" i="1" s="1"/>
  <c r="N24" i="1" s="1"/>
  <c r="I79" i="1"/>
  <c r="K79" i="1" s="1"/>
  <c r="M79" i="1" s="1"/>
  <c r="I57" i="1"/>
  <c r="K57" i="1" s="1"/>
  <c r="M57" i="1" s="1"/>
  <c r="I30" i="1"/>
  <c r="K30" i="1" s="1"/>
  <c r="M30" i="1" s="1"/>
  <c r="I72" i="1"/>
  <c r="K72" i="1" s="1"/>
  <c r="M72" i="1" s="1"/>
  <c r="N72" i="1" s="1"/>
  <c r="I54" i="1"/>
  <c r="K54" i="1" s="1"/>
  <c r="M54" i="1" s="1"/>
  <c r="I34" i="1"/>
  <c r="K34" i="1" s="1"/>
  <c r="M34" i="1" s="1"/>
  <c r="I81" i="1"/>
  <c r="K81" i="1" s="1"/>
  <c r="M81" i="1" s="1"/>
  <c r="I80" i="1"/>
  <c r="K80" i="1" s="1"/>
  <c r="M80" i="1" s="1"/>
  <c r="I31" i="1"/>
  <c r="K31" i="1" s="1"/>
  <c r="M31" i="1" s="1"/>
  <c r="I74" i="1"/>
  <c r="K74" i="1" s="1"/>
  <c r="M74" i="1" s="1"/>
  <c r="I49" i="1"/>
  <c r="K49" i="1" s="1"/>
  <c r="M49" i="1" s="1"/>
  <c r="I75" i="1"/>
  <c r="K75" i="1" s="1"/>
  <c r="M75" i="1" s="1"/>
  <c r="I53" i="1"/>
  <c r="K53" i="1" s="1"/>
  <c r="M53" i="1" s="1"/>
  <c r="I78" i="1"/>
  <c r="K78" i="1" s="1"/>
  <c r="M78" i="1" s="1"/>
  <c r="I56" i="1"/>
  <c r="K56" i="1" s="1"/>
  <c r="M56" i="1" s="1"/>
  <c r="I73" i="1"/>
  <c r="K73" i="1" s="1"/>
  <c r="M73" i="1" s="1"/>
  <c r="I77" i="1"/>
  <c r="K77" i="1" s="1"/>
  <c r="M77" i="1" s="1"/>
  <c r="I25" i="1"/>
  <c r="K25" i="1" s="1"/>
  <c r="M25" i="1" s="1"/>
  <c r="N25" i="1" s="1"/>
  <c r="I52" i="1"/>
  <c r="K52" i="1" s="1"/>
  <c r="M52" i="1" s="1"/>
  <c r="F17" i="1"/>
  <c r="G18" i="1" s="1" a="1"/>
  <c r="G18" i="1" s="1"/>
  <c r="K28" i="1" l="1"/>
  <c r="M28" i="1" s="1"/>
  <c r="O86" i="1"/>
  <c r="O79" i="1"/>
  <c r="O75" i="1"/>
  <c r="O77" i="1"/>
  <c r="O98" i="1"/>
  <c r="O26" i="1"/>
  <c r="O34" i="1"/>
  <c r="O49" i="1"/>
  <c r="O33" i="1"/>
  <c r="O85" i="1"/>
  <c r="P85" i="1" s="1"/>
  <c r="O74" i="1"/>
  <c r="O88" i="1"/>
  <c r="O90" i="1"/>
  <c r="O44" i="1"/>
  <c r="P44" i="1" s="1"/>
  <c r="O41" i="1"/>
  <c r="N89" i="1"/>
  <c r="O89" i="1"/>
  <c r="N82" i="1"/>
  <c r="O82" i="1"/>
  <c r="N99" i="1"/>
  <c r="O99" i="1"/>
  <c r="O80" i="1"/>
  <c r="N91" i="1"/>
  <c r="O91" i="1"/>
  <c r="N95" i="1"/>
  <c r="O95" i="1"/>
  <c r="N84" i="1"/>
  <c r="O84" i="1"/>
  <c r="O76" i="1"/>
  <c r="P76" i="1" s="1"/>
  <c r="N87" i="1"/>
  <c r="O87" i="1"/>
  <c r="O81" i="1"/>
  <c r="O92" i="1"/>
  <c r="P92" i="1" s="1"/>
  <c r="O96" i="1"/>
  <c r="O78" i="1"/>
  <c r="P78" i="1" s="1"/>
  <c r="N83" i="1"/>
  <c r="O83" i="1"/>
  <c r="O94" i="1"/>
  <c r="N97" i="1"/>
  <c r="O97" i="1"/>
  <c r="O73" i="1"/>
  <c r="O38" i="1"/>
  <c r="O31" i="1"/>
  <c r="O43" i="1"/>
  <c r="O39" i="1"/>
  <c r="O36" i="1"/>
  <c r="O42" i="1"/>
  <c r="O40" i="1"/>
  <c r="O32" i="1"/>
  <c r="O37" i="1"/>
  <c r="O30" i="1"/>
  <c r="N35" i="1"/>
  <c r="O35" i="1"/>
  <c r="O27" i="1"/>
  <c r="J101" i="1" a="1"/>
  <c r="J101" i="1" s="1"/>
  <c r="E101" i="1" a="1"/>
  <c r="E101" i="1" s="1"/>
  <c r="Q101" i="1"/>
  <c r="F101" i="1"/>
  <c r="O68" i="1"/>
  <c r="P68" i="1" s="1"/>
  <c r="N68" i="1"/>
  <c r="H100" i="1"/>
  <c r="I100" i="1" s="1"/>
  <c r="K100" i="1" s="1"/>
  <c r="M100" i="1" s="1"/>
  <c r="O100" i="1" s="1"/>
  <c r="O67" i="1"/>
  <c r="N98" i="1"/>
  <c r="O63" i="1"/>
  <c r="O62" i="1"/>
  <c r="O61" i="1"/>
  <c r="N64" i="1"/>
  <c r="O64" i="1"/>
  <c r="N65" i="1"/>
  <c r="O65" i="1"/>
  <c r="O66" i="1"/>
  <c r="N67" i="1"/>
  <c r="N94" i="1"/>
  <c r="O60" i="1"/>
  <c r="N93" i="1"/>
  <c r="O58" i="1"/>
  <c r="O55" i="1"/>
  <c r="N92" i="1"/>
  <c r="N60" i="1"/>
  <c r="H18" i="1" a="1"/>
  <c r="H18" i="1" s="1"/>
  <c r="G20" i="1"/>
  <c r="G19" i="1"/>
  <c r="N62" i="1"/>
  <c r="N66" i="1"/>
  <c r="N86" i="1"/>
  <c r="N90" i="1"/>
  <c r="N88" i="1"/>
  <c r="N85" i="1"/>
  <c r="O59" i="1"/>
  <c r="N63" i="1"/>
  <c r="N61" i="1"/>
  <c r="N43" i="1"/>
  <c r="N42" i="1"/>
  <c r="N41" i="1"/>
  <c r="N40" i="1"/>
  <c r="N39" i="1"/>
  <c r="N38" i="1"/>
  <c r="N44" i="1"/>
  <c r="N37" i="1"/>
  <c r="N36" i="1"/>
  <c r="O52" i="1"/>
  <c r="O57" i="1"/>
  <c r="N74" i="1"/>
  <c r="N81" i="1"/>
  <c r="N75" i="1"/>
  <c r="N79" i="1"/>
  <c r="N80" i="1"/>
  <c r="N77" i="1"/>
  <c r="N73" i="1"/>
  <c r="N76" i="1"/>
  <c r="N78" i="1"/>
  <c r="O56" i="1"/>
  <c r="N50" i="1"/>
  <c r="O50" i="1"/>
  <c r="O53" i="1"/>
  <c r="N51" i="1"/>
  <c r="O51" i="1"/>
  <c r="O54" i="1"/>
  <c r="N49" i="1"/>
  <c r="N55" i="1"/>
  <c r="N33" i="1"/>
  <c r="N27" i="1"/>
  <c r="N29" i="1"/>
  <c r="N34" i="1"/>
  <c r="N31" i="1"/>
  <c r="N54" i="1"/>
  <c r="N26" i="1"/>
  <c r="N56" i="1"/>
  <c r="N32" i="1"/>
  <c r="N30" i="1"/>
  <c r="N52" i="1"/>
  <c r="N53" i="1"/>
  <c r="N57" i="1"/>
  <c r="N71" i="1"/>
  <c r="O28" i="1" l="1"/>
  <c r="O29" i="1"/>
  <c r="P29" i="1" s="1"/>
  <c r="N28" i="1"/>
  <c r="P51" i="1"/>
  <c r="P55" i="1"/>
  <c r="P82" i="1"/>
  <c r="P33" i="1"/>
  <c r="P61" i="1"/>
  <c r="P42" i="1"/>
  <c r="P62" i="1"/>
  <c r="P89" i="1"/>
  <c r="P58" i="1"/>
  <c r="P94" i="1"/>
  <c r="P83" i="1"/>
  <c r="P60" i="1"/>
  <c r="P56" i="1"/>
  <c r="P66" i="1"/>
  <c r="P90" i="1"/>
  <c r="P30" i="1"/>
  <c r="P74" i="1"/>
  <c r="P96" i="1"/>
  <c r="P32" i="1"/>
  <c r="P53" i="1"/>
  <c r="P98" i="1"/>
  <c r="P67" i="1"/>
  <c r="P79" i="1"/>
  <c r="P50" i="1"/>
  <c r="P65" i="1"/>
  <c r="P81" i="1"/>
  <c r="P59" i="1"/>
  <c r="P48" i="1"/>
  <c r="P49" i="1"/>
  <c r="P95" i="1"/>
  <c r="P91" i="1"/>
  <c r="P88" i="1"/>
  <c r="P87" i="1"/>
  <c r="P64" i="1"/>
  <c r="P63" i="1"/>
  <c r="P57" i="1"/>
  <c r="P75" i="1"/>
  <c r="P80" i="1"/>
  <c r="P73" i="1"/>
  <c r="P72" i="1"/>
  <c r="P99" i="1"/>
  <c r="P86" i="1"/>
  <c r="P84" i="1"/>
  <c r="P77" i="1"/>
  <c r="P52" i="1"/>
  <c r="P54" i="1"/>
  <c r="P97" i="1"/>
  <c r="P93" i="1"/>
  <c r="P38" i="1"/>
  <c r="P27" i="1"/>
  <c r="P35" i="1"/>
  <c r="P41" i="1"/>
  <c r="P37" i="1"/>
  <c r="P40" i="1"/>
  <c r="P36" i="1"/>
  <c r="P34" i="1"/>
  <c r="P28" i="1"/>
  <c r="P25" i="1"/>
  <c r="P26" i="1"/>
  <c r="P39" i="1"/>
  <c r="P43" i="1"/>
  <c r="P31" i="1"/>
  <c r="N100" i="1"/>
  <c r="G101" i="1"/>
  <c r="H101" i="1" s="1"/>
  <c r="I101" i="1" s="1"/>
  <c r="K101" i="1" s="1"/>
  <c r="M101" i="1" s="1"/>
  <c r="O101" i="1" s="1"/>
  <c r="P101" i="1" s="1"/>
  <c r="I18" i="1"/>
  <c r="K18" i="1" s="1"/>
  <c r="H20" i="1"/>
  <c r="P100" i="1" l="1"/>
  <c r="N101" i="1"/>
  <c r="H19" i="1"/>
  <c r="I19" i="1" s="1"/>
  <c r="K19" i="1" s="1"/>
  <c r="G17" i="1"/>
  <c r="I20" i="1"/>
  <c r="I17" i="1" l="1"/>
  <c r="K17" i="1" s="1"/>
  <c r="M17" i="1" s="1"/>
  <c r="N17" i="1" s="1"/>
  <c r="M19" i="1"/>
  <c r="N19" i="1" s="1"/>
  <c r="H17" i="1"/>
  <c r="K20" i="1"/>
  <c r="M20" i="1" l="1"/>
  <c r="N20" i="1" s="1"/>
  <c r="M18" i="1" l="1"/>
  <c r="N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<sst xmlns="http://schemas.openxmlformats.org/spreadsheetml/2006/main" count="102" uniqueCount="63">
  <si>
    <t>Profit</t>
  </si>
  <si>
    <t>Beds</t>
  </si>
  <si>
    <t>Tomotoes</t>
  </si>
  <si>
    <t>Carrots</t>
  </si>
  <si>
    <t>Mesculun</t>
  </si>
  <si>
    <t>Labor</t>
  </si>
  <si>
    <t>Labor - Permanent</t>
  </si>
  <si>
    <t>Labor - Temporary</t>
  </si>
  <si>
    <t>Min (&gt;=)</t>
  </si>
  <si>
    <t>Max (&lt;=)</t>
  </si>
  <si>
    <t>hr/season</t>
  </si>
  <si>
    <t>DECISION VARIABLES</t>
  </si>
  <si>
    <t>DECISION MODELS</t>
  </si>
  <si>
    <t>Revenue</t>
  </si>
  <si>
    <t>/week</t>
  </si>
  <si>
    <t>/season</t>
  </si>
  <si>
    <t>MIX</t>
  </si>
  <si>
    <t>Wage</t>
  </si>
  <si>
    <t>Fert</t>
  </si>
  <si>
    <t>Total</t>
  </si>
  <si>
    <t>Dim Return</t>
  </si>
  <si>
    <t>Labor - Perm</t>
  </si>
  <si>
    <t>Labor - Temp</t>
  </si>
  <si>
    <t>CONSTRAINTS</t>
  </si>
  <si>
    <t>MESCULUN</t>
  </si>
  <si>
    <t>%</t>
  </si>
  <si>
    <t>OUTPUT</t>
  </si>
  <si>
    <t>Field Time</t>
  </si>
  <si>
    <t>Fixed costs $</t>
  </si>
  <si>
    <t>$/hr</t>
  </si>
  <si>
    <t>Labor hrs</t>
  </si>
  <si>
    <t>$/bed</t>
  </si>
  <si>
    <t>Q beds</t>
  </si>
  <si>
    <t>$/season</t>
  </si>
  <si>
    <t>Season # wks</t>
  </si>
  <si>
    <t>Labor # hrs</t>
  </si>
  <si>
    <t># hrs/wk/bed</t>
  </si>
  <si>
    <t>perm #</t>
  </si>
  <si>
    <t>temp #</t>
  </si>
  <si>
    <t>labor</t>
  </si>
  <si>
    <t>fert</t>
  </si>
  <si>
    <t>variable</t>
  </si>
  <si>
    <t>fixed</t>
  </si>
  <si>
    <t>costs</t>
  </si>
  <si>
    <t>profit</t>
  </si>
  <si>
    <t>q</t>
  </si>
  <si>
    <t>revenue</t>
  </si>
  <si>
    <t>TOMATO</t>
  </si>
  <si>
    <t>CARROT</t>
  </si>
  <si>
    <t>Fertilizer</t>
  </si>
  <si>
    <t>ASSUMPTIONS</t>
  </si>
  <si>
    <t>FORMULAS</t>
  </si>
  <si>
    <t>P=MC</t>
  </si>
  <si>
    <t>??</t>
  </si>
  <si>
    <t>Variable Costs</t>
  </si>
  <si>
    <t>Perm #</t>
  </si>
  <si>
    <t>Temp #</t>
  </si>
  <si>
    <t>Inputs</t>
  </si>
  <si>
    <t>Fixed Costs</t>
  </si>
  <si>
    <t>Total Costs</t>
  </si>
  <si>
    <t>Price</t>
  </si>
  <si>
    <t>marginal cost</t>
  </si>
  <si>
    <t>midpoint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</si>
</sst>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* #,##0.0_);_(* \(#,##0.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theme="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5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165" fontId="4" fillId="3" borderId="2" xfId="2" applyNumberFormat="1" applyFont="1" applyFill="1" applyBorder="1" applyAlignment="1">
      <alignment vertical="center"/>
    </xf>
    <xf numFmtId="0" fontId="2" fillId="4" borderId="0" xfId="0" applyFont="1" applyFill="1" applyAlignment="1">
      <alignment horizontal="center" vertical="center"/>
    </xf>
    <xf numFmtId="164" fontId="0" fillId="2" borderId="0" xfId="1" applyNumberFormat="1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164" fontId="0" fillId="3" borderId="2" xfId="1" applyNumberFormat="1" applyFont="1" applyFill="1" applyBorder="1" applyAlignment="1">
      <alignment vertical="center"/>
    </xf>
    <xf numFmtId="164" fontId="3" fillId="2" borderId="2" xfId="1" applyNumberFormat="1" applyFont="1" applyFill="1" applyBorder="1" applyAlignment="1">
      <alignment vertical="center"/>
    </xf>
    <xf numFmtId="6" fontId="3" fillId="2" borderId="0" xfId="0" applyNumberFormat="1" applyFont="1" applyFill="1" applyAlignment="1">
      <alignment vertical="center"/>
    </xf>
    <xf numFmtId="44" fontId="0" fillId="3" borderId="2" xfId="2" applyFont="1" applyFill="1" applyBorder="1" applyAlignment="1">
      <alignment vertical="center"/>
    </xf>
    <xf numFmtId="9" fontId="4" fillId="3" borderId="2" xfId="0" applyNumberFormat="1" applyFont="1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165" fontId="0" fillId="3" borderId="2" xfId="2" applyNumberFormat="1" applyFont="1" applyFill="1" applyBorder="1" applyAlignment="1">
      <alignment vertical="center"/>
    </xf>
    <xf numFmtId="43" fontId="0" fillId="3" borderId="2" xfId="1" applyFont="1" applyFill="1" applyBorder="1" applyAlignment="1">
      <alignment vertical="center"/>
    </xf>
    <xf numFmtId="10" fontId="0" fillId="3" borderId="2" xfId="3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9" borderId="2" xfId="0" applyFill="1" applyBorder="1" applyAlignment="1">
      <alignment vertical="center"/>
    </xf>
    <xf numFmtId="0" fontId="0" fillId="9" borderId="2" xfId="0" quotePrefix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7" fillId="2" borderId="1" xfId="1" applyNumberFormat="1" applyFont="1" applyFill="1" applyBorder="1" applyAlignment="1">
      <alignment horizontal="right" vertical="center"/>
    </xf>
    <xf numFmtId="165" fontId="7" fillId="2" borderId="1" xfId="2" applyNumberFormat="1" applyFont="1" applyFill="1" applyBorder="1" applyAlignment="1">
      <alignment horizontal="right" vertical="center"/>
    </xf>
    <xf numFmtId="43" fontId="7" fillId="2" borderId="1" xfId="1" applyFont="1" applyFill="1" applyBorder="1" applyAlignment="1">
      <alignment horizontal="right" vertical="center"/>
    </xf>
    <xf numFmtId="165" fontId="7" fillId="7" borderId="1" xfId="2" applyNumberFormat="1" applyFont="1" applyFill="1" applyBorder="1" applyAlignment="1">
      <alignment horizontal="right" vertical="center"/>
    </xf>
    <xf numFmtId="164" fontId="3" fillId="7" borderId="1" xfId="0" applyNumberFormat="1" applyFont="1" applyFill="1" applyBorder="1" applyAlignment="1">
      <alignment horizontal="right" vertical="center"/>
    </xf>
    <xf numFmtId="43" fontId="3" fillId="7" borderId="1" xfId="1" applyFont="1" applyFill="1" applyBorder="1" applyAlignment="1">
      <alignment horizontal="right" vertical="center"/>
    </xf>
    <xf numFmtId="165" fontId="3" fillId="7" borderId="1" xfId="2" applyNumberFormat="1" applyFont="1" applyFill="1" applyBorder="1" applyAlignment="1">
      <alignment horizontal="right" vertical="center"/>
    </xf>
    <xf numFmtId="43" fontId="0" fillId="2" borderId="0" xfId="0" applyNumberFormat="1" applyFill="1" applyAlignment="1">
      <alignment vertical="center"/>
    </xf>
    <xf numFmtId="0" fontId="0" fillId="4" borderId="1" xfId="0" applyFill="1" applyBorder="1" applyAlignment="1">
      <alignment horizontal="right" vertical="center"/>
    </xf>
    <xf numFmtId="165" fontId="3" fillId="2" borderId="1" xfId="2" applyNumberFormat="1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right" vertical="center"/>
    </xf>
    <xf numFmtId="43" fontId="3" fillId="2" borderId="1" xfId="1" applyFont="1" applyFill="1" applyBorder="1" applyAlignment="1">
      <alignment horizontal="right" vertical="center"/>
    </xf>
    <xf numFmtId="166" fontId="3" fillId="2" borderId="1" xfId="1" applyNumberFormat="1" applyFont="1" applyFill="1" applyBorder="1" applyAlignment="1">
      <alignment horizontal="right" vertical="center"/>
    </xf>
    <xf numFmtId="164" fontId="0" fillId="2" borderId="0" xfId="0" applyNumberFormat="1" applyFill="1" applyAlignment="1">
      <alignment vertical="center"/>
    </xf>
    <xf numFmtId="165" fontId="0" fillId="2" borderId="0" xfId="0" applyNumberFormat="1" applyFill="1" applyAlignment="1">
      <alignment vertical="center"/>
    </xf>
    <xf numFmtId="165" fontId="2" fillId="4" borderId="1" xfId="0" applyNumberFormat="1" applyFont="1" applyFill="1" applyBorder="1" applyAlignment="1">
      <alignment horizontal="center" vertical="center"/>
    </xf>
    <xf numFmtId="165" fontId="8" fillId="6" borderId="1" xfId="2" applyNumberFormat="1" applyFont="1" applyFill="1" applyBorder="1" applyAlignment="1">
      <alignment horizontal="right" vertical="center"/>
    </xf>
    <xf numFmtId="0" fontId="8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4"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Marginal cost - Tomatoes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'Optimize Profit'!$O$23</c:f>
              <c:strCache>
                <c:ptCount val="1"/>
                <c:pt idx="0">
                  <c:v>marginal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'Optimize Profit'!$Q$24:$Q$44</c:f>
              <c:numCache>
                <c:formatCode>_(* #,##0.0_);_(* \(#,##0.0\);_(* "-"??_);_(@_)</c:formatCode>
                <c:ptCount val="21"/>
                <c:pt idx="1">
                  <c:v>0.5</c:v>
                </c:pt>
                <c:pt idx="2">
                  <c:v>1.5</c:v>
                </c:pt>
                <c:pt idx="3">
                  <c:v>2.5</c:v>
                </c:pt>
                <c:pt idx="4">
                  <c:v>3.5</c:v>
                </c:pt>
                <c:pt idx="5">
                  <c:v>4.5</c:v>
                </c:pt>
                <c:pt idx="6">
                  <c:v>5.5</c:v>
                </c:pt>
                <c:pt idx="7">
                  <c:v>6.5</c:v>
                </c:pt>
                <c:pt idx="8">
                  <c:v>7.5</c:v>
                </c:pt>
                <c:pt idx="9">
                  <c:v>8.5</c:v>
                </c:pt>
                <c:pt idx="10">
                  <c:v>9.5</c:v>
                </c:pt>
                <c:pt idx="11">
                  <c:v>10.5</c:v>
                </c:pt>
                <c:pt idx="12">
                  <c:v>11.5</c:v>
                </c:pt>
                <c:pt idx="13">
                  <c:v>12.5</c:v>
                </c:pt>
                <c:pt idx="14">
                  <c:v>13.5</c:v>
                </c:pt>
                <c:pt idx="15">
                  <c:v>14.5</c:v>
                </c:pt>
                <c:pt idx="16">
                  <c:v>15.5</c:v>
                </c:pt>
                <c:pt idx="17">
                  <c:v>16.5</c:v>
                </c:pt>
                <c:pt idx="18">
                  <c:v>17.5</c:v>
                </c:pt>
                <c:pt idx="19">
                  <c:v>18.5</c:v>
                </c:pt>
                <c:pt idx="20">
                  <c:v>19.5</c:v>
                </c:pt>
              </c:numCache>
            </c:numRef>
          </c:cat>
          <c:val>
            <c:numRef>
              <c:f>'Optimize Profit'!$O$24:$O$44</c:f>
              <c:numCache>
                <c:formatCode>_(* #,##0.0_);_(* \(#,##0.0\);_(* "-"??_);_(@_)</c:formatCode>
                <c:ptCount val="21"/>
                <c:pt idx="2" formatCode="_(&quot;$&quot;* #,##0_);_(&quot;$&quot;* \(#,##0\);_(&quot;$&quot;* &quot;-&quot;??_);_(@_)">
                  <c:v>3916.4583333333344</c:v>
                </c:pt>
                <c:pt idx="3" formatCode="_(&quot;$&quot;* #,##0_);_(&quot;$&quot;* \(#,##0\);_(&quot;$&quot;* &quot;-&quot;??_);_(@_)">
                  <c:v>5196.9270833333358</c:v>
                </c:pt>
                <c:pt idx="4" formatCode="_(&quot;$&quot;* #,##0_);_(&quot;$&quot;* \(#,##0\);_(&quot;$&quot;* &quot;-&quot;??_);_(@_)">
                  <c:v>6772.4479166666679</c:v>
                </c:pt>
                <c:pt idx="5" formatCode="_(&quot;$&quot;* #,##0_);_(&quot;$&quot;* \(#,##0\);_(&quot;$&quot;* &quot;-&quot;??_);_(@_)">
                  <c:v>8696.1588541666679</c:v>
                </c:pt>
                <c:pt idx="6" formatCode="_(&quot;$&quot;* #,##0_);_(&quot;$&quot;* \(#,##0\);_(&quot;$&quot;* &quot;-&quot;??_);_(@_)">
                  <c:v>6921.1838541666693</c:v>
                </c:pt>
                <c:pt idx="7" formatCode="_(&quot;$&quot;* #,##0_);_(&quot;$&quot;* \(#,##0\);_(&quot;$&quot;* &quot;-&quot;??_);_(@_)">
                  <c:v>5585.7089062500017</c:v>
                </c:pt>
                <c:pt idx="8" formatCode="_(&quot;$&quot;* #,##0_);_(&quot;$&quot;* \(#,##0\);_(&quot;$&quot;* &quot;-&quot;??_);_(@_)">
                  <c:v>6360.7668437500033</c:v>
                </c:pt>
                <c:pt idx="9" formatCode="_(&quot;$&quot;* #,##0_);_(&quot;$&quot;* \(#,##0\);_(&quot;$&quot;* &quot;-&quot;??_);_(@_)">
                  <c:v>7243.7792796875074</c:v>
                </c:pt>
                <c:pt idx="10" formatCode="_(&quot;$&quot;* #,##0_);_(&quot;$&quot;* \(#,##0\);_(&quot;$&quot;* &quot;-&quot;??_);_(@_)">
                  <c:v>8248.5865343750193</c:v>
                </c:pt>
                <c:pt idx="11" formatCode="_(&quot;$&quot;* #,##0_);_(&quot;$&quot;* \(#,##0\);_(&quot;$&quot;* &quot;-&quot;??_);_(@_)">
                  <c:v>9390.7174472031184</c:v>
                </c:pt>
                <c:pt idx="12" formatCode="_(&quot;$&quot;* #,##0_);_(&quot;$&quot;* \(#,##0\);_(&quot;$&quot;* &quot;-&quot;??_);_(@_)">
                  <c:v>10687.588677253138</c:v>
                </c:pt>
                <c:pt idx="13" formatCode="_(&quot;$&quot;* #,##0_);_(&quot;$&quot;* \(#,##0\);_(&quot;$&quot;* &quot;-&quot;??_);_(@_)">
                  <c:v>12158.726978841107</c:v>
                </c:pt>
                <c:pt idx="14" formatCode="_(&quot;$&quot;* #,##0_);_(&quot;$&quot;* \(#,##0\);_(&quot;$&quot;* &quot;-&quot;??_);_(@_)">
                  <c:v>13826.017053974152</c:v>
                </c:pt>
                <c:pt idx="15" formatCode="_(&quot;$&quot;* #,##0_);_(&quot;$&quot;* \(#,##0\);_(&quot;$&quot;* &quot;-&quot;??_);_(@_)">
                  <c:v>15713.977874345379</c:v>
                </c:pt>
                <c:pt idx="16" formatCode="_(&quot;$&quot;* #,##0_);_(&quot;$&quot;* \(#,##0\);_(&quot;$&quot;* &quot;-&quot;??_);_(@_)">
                  <c:v>17850.0706882511</c:v>
                </c:pt>
                <c:pt idx="17" formatCode="_(&quot;$&quot;* #,##0_);_(&quot;$&quot;* \(#,##0\);_(&quot;$&quot;* &quot;-&quot;??_);_(@_)">
                  <c:v>20265.042286194512</c:v>
                </c:pt>
                <c:pt idx="18" formatCode="_(&quot;$&quot;* #,##0_);_(&quot;$&quot;* \(#,##0\);_(&quot;$&quot;* &quot;-&quot;??_);_(@_)">
                  <c:v>22993.307496844151</c:v>
                </c:pt>
                <c:pt idx="19" formatCode="_(&quot;$&quot;* #,##0_);_(&quot;$&quot;* \(#,##0\);_(&quot;$&quot;* &quot;-&quot;??_);_(@_)">
                  <c:v>26073.375326761743</c:v>
                </c:pt>
                <c:pt idx="20" formatCode="_(&quot;$&quot;* #,##0_);_(&quot;$&quot;* \(#,##0\);_(&quot;$&quot;* &quot;-&quot;??_);_(@_)">
                  <c:v>29548.323647694313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0B-47F2-95CD-41A3A3607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075679"/>
        <c:axId val="504218319"/>
      </c:lineChart>
      <c:catAx>
        <c:axId val="761075679"/>
        <c:scaling>
          <c:orientation val="minMax"/>
        </c:scaling>
        <c:delete val="0"/>
        <c:axPos val="b"/>
        <c:numFmt formatCode="_(* #,##0.0_);_(* \(#,##0.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18319"/>
        <c:crosses val="autoZero"/>
        <c:auto val="1"/>
        <c:lblAlgn val="ctr"/>
        <c:lblOffset val="100"/>
        <c:noMultiLvlLbl val="0"/>
      </c:catAx>
      <c:valAx>
        <c:axId val="50421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_);_(* \(#,##0.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75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Marginal cost - Carrots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'Optimize Profit'!$O$46</c:f>
              <c:strCache>
                <c:ptCount val="1"/>
                <c:pt idx="0">
                  <c:v>marginal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'Optimize Profit'!$Q$47:$Q$68</c:f>
              <c:numCache>
                <c:formatCode>_(* #,##0.0_);_(* \(#,##0.0\);_(* "-"??_);_(@_)</c:formatCode>
                <c:ptCount val="22"/>
                <c:pt idx="1">
                  <c:v>0.5</c:v>
                </c:pt>
                <c:pt idx="2">
                  <c:v>1.5</c:v>
                </c:pt>
                <c:pt idx="3">
                  <c:v>2.5</c:v>
                </c:pt>
                <c:pt idx="4">
                  <c:v>3.5</c:v>
                </c:pt>
                <c:pt idx="5">
                  <c:v>4.5</c:v>
                </c:pt>
                <c:pt idx="6">
                  <c:v>5.5</c:v>
                </c:pt>
                <c:pt idx="7">
                  <c:v>6.5</c:v>
                </c:pt>
                <c:pt idx="8">
                  <c:v>7.5</c:v>
                </c:pt>
                <c:pt idx="9">
                  <c:v>8.5</c:v>
                </c:pt>
                <c:pt idx="10">
                  <c:v>9.5</c:v>
                </c:pt>
                <c:pt idx="11">
                  <c:v>10.5</c:v>
                </c:pt>
                <c:pt idx="12">
                  <c:v>11.5</c:v>
                </c:pt>
                <c:pt idx="13">
                  <c:v>12.5</c:v>
                </c:pt>
                <c:pt idx="14">
                  <c:v>13.5</c:v>
                </c:pt>
                <c:pt idx="15">
                  <c:v>14.5</c:v>
                </c:pt>
                <c:pt idx="16">
                  <c:v>15.5</c:v>
                </c:pt>
                <c:pt idx="17">
                  <c:v>16.5</c:v>
                </c:pt>
                <c:pt idx="18">
                  <c:v>17.5</c:v>
                </c:pt>
                <c:pt idx="19">
                  <c:v>18.5</c:v>
                </c:pt>
                <c:pt idx="20">
                  <c:v>19.5</c:v>
                </c:pt>
                <c:pt idx="21">
                  <c:v>20.5</c:v>
                </c:pt>
              </c:numCache>
            </c:numRef>
          </c:cat>
          <c:val>
            <c:numRef>
              <c:f>'Optimize Profit'!$O$47:$O$68</c:f>
              <c:numCache>
                <c:formatCode>_(* #,##0.0_);_(* \(#,##0.0\);_(* "-"??_);_(@_)</c:formatCode>
                <c:ptCount val="22"/>
                <c:pt idx="2" formatCode="_(&quot;$&quot;* #,##0_);_(&quot;$&quot;* \(#,##0\);_(&quot;$&quot;* &quot;-&quot;??_);_(@_)">
                  <c:v>1276.3715277777776</c:v>
                </c:pt>
                <c:pt idx="3" formatCode="_(&quot;$&quot;* #,##0_);_(&quot;$&quot;* \(#,##0\);_(&quot;$&quot;* &quot;-&quot;??_);_(@_)">
                  <c:v>1504.7610134548609</c:v>
                </c:pt>
                <c:pt idx="4" formatCode="_(&quot;$&quot;* #,##0_);_(&quot;$&quot;* \(#,##0\);_(&quot;$&quot;* &quot;-&quot;??_);_(@_)">
                  <c:v>1748.7212456597213</c:v>
                </c:pt>
                <c:pt idx="5" formatCode="_(&quot;$&quot;* #,##0_);_(&quot;$&quot;* \(#,##0\);_(&quot;$&quot;* &quot;-&quot;??_);_(@_)">
                  <c:v>2009.0048684014209</c:v>
                </c:pt>
                <c:pt idx="6" formatCode="_(&quot;$&quot;* #,##0_);_(&quot;$&quot;* \(#,##0\);_(&quot;$&quot;* &quot;-&quot;??_);_(@_)">
                  <c:v>2286.3953474256732</c:v>
                </c:pt>
                <c:pt idx="7" formatCode="_(&quot;$&quot;* #,##0_);_(&quot;$&quot;* \(#,##0\);_(&quot;$&quot;* &quot;-&quot;??_);_(@_)">
                  <c:v>3303.9998045274933</c:v>
                </c:pt>
                <c:pt idx="8" formatCode="_(&quot;$&quot;* #,##0_);_(&quot;$&quot;* \(#,##0\);_(&quot;$&quot;* &quot;-&quot;??_);_(@_)">
                  <c:v>3865.7263039743575</c:v>
                </c:pt>
                <c:pt idx="9" formatCode="_(&quot;$&quot;* #,##0_);_(&quot;$&quot;* \(#,##0\);_(&quot;$&quot;* &quot;-&quot;??_);_(@_)">
                  <c:v>4464.3255425566276</c:v>
                </c:pt>
                <c:pt idx="10" formatCode="_(&quot;$&quot;* #,##0_);_(&quot;$&quot;* \(#,##0\);_(&quot;$&quot;* &quot;-&quot;??_);_(@_)">
                  <c:v>5101.5544885199342</c:v>
                </c:pt>
                <c:pt idx="11" formatCode="_(&quot;$&quot;* #,##0_);_(&quot;$&quot;* \(#,##0\);_(&quot;$&quot;* &quot;-&quot;??_);_(@_)">
                  <c:v>3216.3099965910224</c:v>
                </c:pt>
                <c:pt idx="12" formatCode="_(&quot;$&quot;* #,##0_);_(&quot;$&quot;* \(#,##0\);_(&quot;$&quot;* &quot;-&quot;??_);_(@_)">
                  <c:v>440</c:v>
                </c:pt>
                <c:pt idx="13" formatCode="_(&quot;$&quot;* #,##0_);_(&quot;$&quot;* \(#,##0\);_(&quot;$&quot;* &quot;-&quot;??_);_(@_)">
                  <c:v>440</c:v>
                </c:pt>
                <c:pt idx="14" formatCode="_(&quot;$&quot;* #,##0_);_(&quot;$&quot;* \(#,##0\);_(&quot;$&quot;* &quot;-&quot;??_);_(@_)">
                  <c:v>440</c:v>
                </c:pt>
                <c:pt idx="15" formatCode="_(&quot;$&quot;* #,##0_);_(&quot;$&quot;* \(#,##0\);_(&quot;$&quot;* &quot;-&quot;??_);_(@_)">
                  <c:v>440</c:v>
                </c:pt>
                <c:pt idx="16" formatCode="_(&quot;$&quot;* #,##0_);_(&quot;$&quot;* \(#,##0\);_(&quot;$&quot;* &quot;-&quot;??_);_(@_)">
                  <c:v>440</c:v>
                </c:pt>
                <c:pt idx="17" formatCode="_(&quot;$&quot;* #,##0_);_(&quot;$&quot;* \(#,##0\);_(&quot;$&quot;* &quot;-&quot;??_);_(@_)">
                  <c:v>1412.6616875053733</c:v>
                </c:pt>
                <c:pt idx="18" formatCode="_(&quot;$&quot;* #,##0_);_(&quot;$&quot;* \(#,##0\);_(&quot;$&quot;* &quot;-&quot;??_);_(@_)">
                  <c:v>1589.1387909931072</c:v>
                </c:pt>
                <c:pt idx="19" formatCode="_(&quot;$&quot;* #,##0_);_(&quot;$&quot;* \(#,##0\);_(&quot;$&quot;* &quot;-&quot;??_);_(@_)">
                  <c:v>1638.1753169880612</c:v>
                </c:pt>
                <c:pt idx="20" formatCode="_(&quot;$&quot;* #,##0_);_(&quot;$&quot;* \(#,##0\);_(&quot;$&quot;* &quot;-&quot;??_);_(@_)">
                  <c:v>1688.9454575384079</c:v>
                </c:pt>
                <c:pt idx="21" formatCode="_(&quot;$&quot;* #,##0_);_(&quot;$&quot;* \(#,##0\);_(&quot;$&quot;* &quot;-&quot;??_);_(@_)">
                  <c:v>1741.5052455431578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84-48DA-8475-BD58F1A86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075679"/>
        <c:axId val="504218319"/>
      </c:lineChart>
      <c:catAx>
        <c:axId val="761075679"/>
        <c:scaling>
          <c:orientation val="minMax"/>
        </c:scaling>
        <c:delete val="0"/>
        <c:axPos val="b"/>
        <c:numFmt formatCode="_(* #,##0.0_);_(* \(#,##0.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18319"/>
        <c:crosses val="autoZero"/>
        <c:auto val="1"/>
        <c:lblAlgn val="ctr"/>
        <c:lblOffset val="100"/>
        <c:noMultiLvlLbl val="0"/>
      </c:catAx>
      <c:valAx>
        <c:axId val="50421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_);_(* \(#,##0.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7567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Marginal cost - Mesculun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'Optimize Profit'!$O$70</c:f>
              <c:strCache>
                <c:ptCount val="1"/>
                <c:pt idx="0">
                  <c:v>marginal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'Optimize Profit'!$Q$71:$Q$101</c:f>
              <c:numCache>
                <c:formatCode>_(* #,##0.0_);_(* \(#,##0.0\);_(* "-"??_);_(@_)</c:formatCode>
                <c:ptCount val="31"/>
                <c:pt idx="1">
                  <c:v>0.5</c:v>
                </c:pt>
                <c:pt idx="2">
                  <c:v>1.5</c:v>
                </c:pt>
                <c:pt idx="3">
                  <c:v>2.5</c:v>
                </c:pt>
                <c:pt idx="4">
                  <c:v>3.5</c:v>
                </c:pt>
                <c:pt idx="5">
                  <c:v>4.5</c:v>
                </c:pt>
                <c:pt idx="6">
                  <c:v>5.5</c:v>
                </c:pt>
                <c:pt idx="7">
                  <c:v>6.5</c:v>
                </c:pt>
                <c:pt idx="8">
                  <c:v>7.5</c:v>
                </c:pt>
                <c:pt idx="9">
                  <c:v>8.5</c:v>
                </c:pt>
                <c:pt idx="10">
                  <c:v>9.5</c:v>
                </c:pt>
                <c:pt idx="11">
                  <c:v>10.5</c:v>
                </c:pt>
                <c:pt idx="12">
                  <c:v>11.5</c:v>
                </c:pt>
                <c:pt idx="13">
                  <c:v>12.5</c:v>
                </c:pt>
                <c:pt idx="14">
                  <c:v>13.5</c:v>
                </c:pt>
                <c:pt idx="15">
                  <c:v>14.5</c:v>
                </c:pt>
                <c:pt idx="16">
                  <c:v>15.5</c:v>
                </c:pt>
                <c:pt idx="17">
                  <c:v>16.5</c:v>
                </c:pt>
                <c:pt idx="18">
                  <c:v>17.5</c:v>
                </c:pt>
                <c:pt idx="19">
                  <c:v>18.5</c:v>
                </c:pt>
                <c:pt idx="20">
                  <c:v>19.5</c:v>
                </c:pt>
                <c:pt idx="21">
                  <c:v>20.5</c:v>
                </c:pt>
                <c:pt idx="22">
                  <c:v>21.5</c:v>
                </c:pt>
                <c:pt idx="23">
                  <c:v>22.5</c:v>
                </c:pt>
                <c:pt idx="24">
                  <c:v>23.5</c:v>
                </c:pt>
                <c:pt idx="25">
                  <c:v>24.5</c:v>
                </c:pt>
                <c:pt idx="26">
                  <c:v>25.5</c:v>
                </c:pt>
                <c:pt idx="27">
                  <c:v>26.5</c:v>
                </c:pt>
                <c:pt idx="28">
                  <c:v>27.5</c:v>
                </c:pt>
                <c:pt idx="29">
                  <c:v>28.5</c:v>
                </c:pt>
                <c:pt idx="30">
                  <c:v>29.5</c:v>
                </c:pt>
              </c:numCache>
            </c:numRef>
          </c:cat>
          <c:val>
            <c:numRef>
              <c:f>'Optimize Profit'!$O$71:$O$101</c:f>
              <c:numCache>
                <c:formatCode>_(* #,##0.0_);_(* \(#,##0.0\);_(* "-"??_);_(@_)</c:formatCode>
                <c:ptCount val="31"/>
                <c:pt idx="2" formatCode="_(&quot;$&quot;* #,##0_);_(&quot;$&quot;* \(#,##0\);_(&quot;$&quot;* &quot;-&quot;??_);_(@_)">
                  <c:v>2092.890625</c:v>
                </c:pt>
                <c:pt idx="3" formatCode="_(&quot;$&quot;* #,##0_);_(&quot;$&quot;* \(#,##0\);_(&quot;$&quot;* &quot;-&quot;??_);_(@_)">
                  <c:v>2393.3735656738272</c:v>
                </c:pt>
                <c:pt idx="4" formatCode="_(&quot;$&quot;* #,##0_);_(&quot;$&quot;* \(#,##0\);_(&quot;$&quot;* &quot;-&quot;??_);_(@_)">
                  <c:v>2704.557876586915</c:v>
                </c:pt>
                <c:pt idx="5" formatCode="_(&quot;$&quot;* #,##0_);_(&quot;$&quot;* \(#,##0\);_(&quot;$&quot;* &quot;-&quot;??_);_(@_)">
                  <c:v>3026.7063766717911</c:v>
                </c:pt>
                <c:pt idx="6" formatCode="_(&quot;$&quot;* #,##0_);_(&quot;$&quot;* \(#,##0\);_(&quot;$&quot;* &quot;-&quot;??_);_(@_)">
                  <c:v>3360.0873111844048</c:v>
                </c:pt>
                <c:pt idx="7" formatCode="_(&quot;$&quot;* #,##0_);_(&quot;$&quot;* \(#,##0\);_(&quot;$&quot;* &quot;-&quot;??_);_(@_)">
                  <c:v>4699.2392044739026</c:v>
                </c:pt>
                <c:pt idx="8" formatCode="_(&quot;$&quot;* #,##0_);_(&quot;$&quot;* \(#,##0\);_(&quot;$&quot;* &quot;-&quot;??_);_(@_)">
                  <c:v>5368.3951642660286</c:v>
                </c:pt>
                <c:pt idx="9" formatCode="_(&quot;$&quot;* #,##0_);_(&quot;$&quot;* \(#,##0\);_(&quot;$&quot;* &quot;-&quot;??_);_(@_)">
                  <c:v>6060.8739316484862</c:v>
                </c:pt>
                <c:pt idx="10" formatCode="_(&quot;$&quot;* #,##0_);_(&quot;$&quot;* \(#,##0\);_(&quot;$&quot;* &quot;-&quot;??_);_(@_)">
                  <c:v>2291.0243819946445</c:v>
                </c:pt>
                <c:pt idx="11" formatCode="_(&quot;$&quot;* #,##0_);_(&quot;$&quot;* \(#,##0\);_(&quot;$&quot;* &quot;-&quot;??_);_(@_)">
                  <c:v>880</c:v>
                </c:pt>
                <c:pt idx="12" formatCode="_(&quot;$&quot;* #,##0_);_(&quot;$&quot;* \(#,##0\);_(&quot;$&quot;* &quot;-&quot;??_);_(@_)">
                  <c:v>880</c:v>
                </c:pt>
                <c:pt idx="13" formatCode="_(&quot;$&quot;* #,##0_);_(&quot;$&quot;* \(#,##0\);_(&quot;$&quot;* &quot;-&quot;??_);_(@_)">
                  <c:v>880</c:v>
                </c:pt>
                <c:pt idx="14" formatCode="_(&quot;$&quot;* #,##0_);_(&quot;$&quot;* \(#,##0\);_(&quot;$&quot;* &quot;-&quot;??_);_(@_)">
                  <c:v>1395.1300623691786</c:v>
                </c:pt>
                <c:pt idx="15" formatCode="_(&quot;$&quot;* #,##0_);_(&quot;$&quot;* \(#,##0\);_(&quot;$&quot;* &quot;-&quot;??_);_(@_)">
                  <c:v>1983.9619249331008</c:v>
                </c:pt>
                <c:pt idx="16" formatCode="_(&quot;$&quot;* #,##0_);_(&quot;$&quot;* \(#,##0\);_(&quot;$&quot;* &quot;-&quot;??_);_(@_)">
                  <c:v>2009.5273589841818</c:v>
                </c:pt>
                <c:pt idx="17" formatCode="_(&quot;$&quot;* #,##0_);_(&quot;$&quot;* \(#,##0\);_(&quot;$&quot;* &quot;-&quot;??_);_(@_)">
                  <c:v>2035.5594348357699</c:v>
                </c:pt>
                <c:pt idx="18" formatCode="_(&quot;$&quot;* #,##0_);_(&quot;$&quot;* \(#,##0\);_(&quot;$&quot;* &quot;-&quot;??_);_(@_)">
                  <c:v>2062.0658239338081</c:v>
                </c:pt>
                <c:pt idx="19" formatCode="_(&quot;$&quot;* #,##0_);_(&quot;$&quot;* \(#,##0\);_(&quot;$&quot;* &quot;-&quot;??_);_(@_)">
                  <c:v>2089.0543165975978</c:v>
                </c:pt>
                <c:pt idx="20" formatCode="_(&quot;$&quot;* #,##0_);_(&quot;$&quot;* \(#,##0\);_(&quot;$&quot;* &quot;-&quot;??_);_(@_)">
                  <c:v>2116.532823793008</c:v>
                </c:pt>
                <c:pt idx="21" formatCode="_(&quot;$&quot;* #,##0_);_(&quot;$&quot;* \(#,##0\);_(&quot;$&quot;* &quot;-&quot;??_);_(@_)">
                  <c:v>2144.5093789313105</c:v>
                </c:pt>
                <c:pt idx="22" formatCode="_(&quot;$&quot;* #,##0_);_(&quot;$&quot;* \(#,##0\);_(&quot;$&quot;* &quot;-&quot;??_);_(@_)">
                  <c:v>2172.9921396943828</c:v>
                </c:pt>
                <c:pt idx="23" formatCode="_(&quot;$&quot;* #,##0_);_(&quot;$&quot;* \(#,##0\);_(&quot;$&quot;* &quot;-&quot;??_);_(@_)">
                  <c:v>2201.9893898860464</c:v>
                </c:pt>
                <c:pt idx="24" formatCode="_(&quot;$&quot;* #,##0_);_(&quot;$&quot;* \(#,##0\);_(&quot;$&quot;* &quot;-&quot;??_);_(@_)">
                  <c:v>2231.5095413106901</c:v>
                </c:pt>
                <c:pt idx="25" formatCode="_(&quot;$&quot;* #,##0_);_(&quot;$&quot;* \(#,##0\);_(&quot;$&quot;* &quot;-&quot;??_);_(@_)">
                  <c:v>2261.5611356787849</c:v>
                </c:pt>
                <c:pt idx="26" formatCode="_(&quot;$&quot;* #,##0_);_(&quot;$&quot;* \(#,##0\);_(&quot;$&quot;* &quot;-&quot;??_);_(@_)">
                  <c:v>2292.1528465402371</c:v>
                </c:pt>
                <c:pt idx="27" formatCode="_(&quot;$&quot;* #,##0_);_(&quot;$&quot;* \(#,##0\);_(&quot;$&quot;* &quot;-&quot;??_);_(@_)">
                  <c:v>2323.2934812457679</c:v>
                </c:pt>
                <c:pt idx="28" formatCode="_(&quot;$&quot;* #,##0_);_(&quot;$&quot;* \(#,##0\);_(&quot;$&quot;* &quot;-&quot;??_);_(@_)">
                  <c:v>2354.9919829366991</c:v>
                </c:pt>
                <c:pt idx="29" formatCode="_(&quot;$&quot;* #,##0_);_(&quot;$&quot;* \(#,##0\);_(&quot;$&quot;* &quot;-&quot;??_);_(@_)">
                  <c:v>2387.2574325634341</c:v>
                </c:pt>
                <c:pt idx="30" formatCode="_(&quot;$&quot;* #,##0_);_(&quot;$&quot;* \(#,##0\);_(&quot;$&quot;* &quot;-&quot;??_);_(@_)">
                  <c:v>2420.0990509335097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2C-4BF9-9158-DBC998C00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075679"/>
        <c:axId val="504218319"/>
      </c:lineChart>
      <c:catAx>
        <c:axId val="761075679"/>
        <c:scaling>
          <c:orientation val="minMax"/>
        </c:scaling>
        <c:delete val="0"/>
        <c:axPos val="b"/>
        <c:numFmt formatCode="_(* #,##0.0_);_(* \(#,##0.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218319"/>
        <c:crosses val="autoZero"/>
        <c:auto val="1"/>
        <c:lblAlgn val="ctr"/>
        <c:lblOffset val="100"/>
        <c:noMultiLvlLbl val="0"/>
      </c:catAx>
      <c:valAx>
        <c:axId val="50421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_);_(* \(#,##0.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75679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38100</xdr:colOff>
      <xdr:row>21</xdr:row>
      <xdr:rowOff>133349</xdr:rowOff>
    </xdr:from>
    <xdr:to>
      <xdr:col>49</xdr:col>
      <xdr:colOff>38100</xdr:colOff>
      <xdr:row>44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62439A-C584-9F27-C039-F734B8A7B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47625</xdr:colOff>
      <xdr:row>45</xdr:row>
      <xdr:rowOff>9525</xdr:rowOff>
    </xdr:from>
    <xdr:to>
      <xdr:col>49</xdr:col>
      <xdr:colOff>47625</xdr:colOff>
      <xdr:row>67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D795BB-AF4A-46D5-8BA9-8AE5D87B3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47625</xdr:colOff>
      <xdr:row>68</xdr:row>
      <xdr:rowOff>195262</xdr:rowOff>
    </xdr:from>
    <xdr:to>
      <xdr:col>49</xdr:col>
      <xdr:colOff>47625</xdr:colOff>
      <xdr:row>91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E5C0F5-2CB6-4DE4-B6B7-4AE413A9B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29345</xdr:colOff>
      <xdr:row>30</xdr:row>
      <xdr:rowOff>77008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993121-BAE9-7EFA-BD66-1043BE5BC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15745" cy="579200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18</xdr:col>
      <xdr:colOff>438892</xdr:colOff>
      <xdr:row>46</xdr:row>
      <xdr:rowOff>58381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1569FBE-7D68-9F80-FE43-08E2DD9CE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0"/>
          <a:ext cx="5315692" cy="8821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3B31-74B9-48A1-B704-3B1C69657382}">
  <dimension ref="A1:AP101"/>
  <sheetViews>
    <sheetView tabSelected="1" workbookViewId="0">
      <selection activeCell="D19" sqref="D19"/>
    </sheetView>
  </sheetViews>
  <sheetFormatPr defaultColWidth="2.26953125" defaultRowHeight="14.5" x14ac:dyDescent="0.35"/>
  <cols>
    <col min="1" max="1" width="2.26953125" style="18"/>
    <col min="2" max="2" width="17.54296875" style="18" bestFit="1" customWidth="1"/>
    <col min="3" max="3" width="11.1796875" style="18" bestFit="1" customWidth="1"/>
    <col min="4" max="4" width="8.54296875" style="18" bestFit="1" customWidth="1"/>
    <col min="5" max="5" width="10" style="18" bestFit="1" customWidth="1"/>
    <col min="6" max="6" width="12.453125" style="18" bestFit="1" customWidth="1"/>
    <col min="7" max="7" width="9.453125" style="18" bestFit="1" customWidth="1"/>
    <col min="8" max="8" width="10.26953125" style="18" bestFit="1" customWidth="1"/>
    <col min="9" max="9" width="13.453125" style="18" bestFit="1" customWidth="1"/>
    <col min="10" max="10" width="9" style="18" bestFit="1" customWidth="1"/>
    <col min="11" max="12" width="11" style="18" bestFit="1" customWidth="1"/>
    <col min="13" max="13" width="10.54296875" style="18" bestFit="1" customWidth="1"/>
    <col min="14" max="14" width="19.7265625" style="18" bestFit="1" customWidth="1"/>
    <col min="15" max="15" width="12.7265625" style="18" bestFit="1" customWidth="1"/>
    <col min="16" max="16" width="12" style="18" bestFit="1" customWidth="1"/>
    <col min="17" max="17" width="15.7265625" style="18" bestFit="1" customWidth="1"/>
    <col min="18" max="16384" width="2.26953125" style="18"/>
  </cols>
  <sheetData>
    <row r="1" spans="2:16" ht="15" thickBot="1" x14ac:dyDescent="0.4"/>
    <row r="2" spans="2:16" ht="15" thickBot="1" x14ac:dyDescent="0.4">
      <c r="B2" s="3" t="s">
        <v>34</v>
      </c>
      <c r="C2" s="24">
        <v>36</v>
      </c>
      <c r="N2" s="19" t="s">
        <v>50</v>
      </c>
    </row>
    <row r="3" spans="2:16" ht="15" thickBot="1" x14ac:dyDescent="0.4">
      <c r="B3" s="3" t="s">
        <v>28</v>
      </c>
      <c r="C3" s="4">
        <v>20000</v>
      </c>
      <c r="N3" s="20" t="s">
        <v>23</v>
      </c>
    </row>
    <row r="4" spans="2:16" x14ac:dyDescent="0.35">
      <c r="G4" s="5" t="s">
        <v>17</v>
      </c>
      <c r="H4" s="5" t="s">
        <v>27</v>
      </c>
      <c r="N4" s="21" t="s">
        <v>11</v>
      </c>
    </row>
    <row r="5" spans="2:16" ht="15" thickBot="1" x14ac:dyDescent="0.4">
      <c r="C5" s="5" t="s">
        <v>14</v>
      </c>
      <c r="D5" s="5" t="s">
        <v>15</v>
      </c>
      <c r="E5" s="6"/>
      <c r="G5" s="7" t="s">
        <v>29</v>
      </c>
      <c r="H5" s="7" t="s">
        <v>25</v>
      </c>
      <c r="N5" s="22" t="s">
        <v>26</v>
      </c>
    </row>
    <row r="6" spans="2:16" ht="15" thickBot="1" x14ac:dyDescent="0.4">
      <c r="B6" s="3" t="s">
        <v>35</v>
      </c>
      <c r="C6" s="8">
        <v>40</v>
      </c>
      <c r="D6" s="9">
        <f>labor_hrs_week*season_length</f>
        <v>1440</v>
      </c>
      <c r="E6" s="10"/>
      <c r="F6" s="3" t="s">
        <v>21</v>
      </c>
      <c r="G6" s="11">
        <f>50000/labor_hrs_season</f>
        <v>34.722222222222221</v>
      </c>
      <c r="H6" s="12">
        <v>0.5</v>
      </c>
      <c r="N6" s="23" t="s">
        <v>51</v>
      </c>
    </row>
    <row r="7" spans="2:16" ht="15" thickBot="1" x14ac:dyDescent="0.4">
      <c r="F7" s="3" t="s">
        <v>22</v>
      </c>
      <c r="G7" s="11">
        <f>25000/labor_hrs_season</f>
        <v>17.361111111111111</v>
      </c>
      <c r="H7" s="12">
        <v>1</v>
      </c>
    </row>
    <row r="9" spans="2:16" x14ac:dyDescent="0.35">
      <c r="G9" s="5" t="s">
        <v>1</v>
      </c>
      <c r="H9" s="5" t="s">
        <v>60</v>
      </c>
      <c r="I9" s="5" t="s">
        <v>5</v>
      </c>
      <c r="J9" s="5" t="s">
        <v>49</v>
      </c>
      <c r="K9" s="5" t="s">
        <v>20</v>
      </c>
    </row>
    <row r="10" spans="2:16" ht="15" thickBot="1" x14ac:dyDescent="0.4">
      <c r="B10" s="2"/>
      <c r="C10" s="13" t="s">
        <v>8</v>
      </c>
      <c r="D10" s="13" t="s">
        <v>9</v>
      </c>
      <c r="G10" s="7" t="s">
        <v>9</v>
      </c>
      <c r="H10" s="7" t="s">
        <v>31</v>
      </c>
      <c r="I10" s="7" t="s">
        <v>36</v>
      </c>
      <c r="J10" s="7" t="s">
        <v>31</v>
      </c>
      <c r="K10" s="7" t="s">
        <v>25</v>
      </c>
    </row>
    <row r="11" spans="2:16" ht="15" thickBot="1" x14ac:dyDescent="0.4">
      <c r="B11" s="3" t="s">
        <v>1</v>
      </c>
      <c r="C11" s="25">
        <v>0</v>
      </c>
      <c r="D11" s="25">
        <v>64</v>
      </c>
      <c r="F11" s="3" t="s">
        <v>2</v>
      </c>
      <c r="G11" s="25">
        <v>20</v>
      </c>
      <c r="H11" s="14">
        <v>8800</v>
      </c>
      <c r="I11" s="15">
        <v>2.5</v>
      </c>
      <c r="J11" s="14">
        <f>rev_tomatoes*10%</f>
        <v>880</v>
      </c>
      <c r="K11" s="16">
        <v>0.1</v>
      </c>
    </row>
    <row r="12" spans="2:16" ht="15" thickBot="1" x14ac:dyDescent="0.4">
      <c r="B12" s="3" t="s">
        <v>6</v>
      </c>
      <c r="C12" s="26">
        <v>1</v>
      </c>
      <c r="D12" s="25">
        <v>1</v>
      </c>
      <c r="F12" s="3" t="s">
        <v>3</v>
      </c>
      <c r="G12" s="25">
        <v>20</v>
      </c>
      <c r="H12" s="14">
        <v>2094</v>
      </c>
      <c r="I12" s="15">
        <f>labor_wk_tomatoes/3</f>
        <v>0.83333333333333337</v>
      </c>
      <c r="J12" s="14">
        <f>rev_tomatoes*5%</f>
        <v>440</v>
      </c>
      <c r="K12" s="16">
        <v>2.5000000000000001E-2</v>
      </c>
    </row>
    <row r="13" spans="2:16" ht="15" thickBot="1" x14ac:dyDescent="0.4">
      <c r="B13" s="3" t="s">
        <v>7</v>
      </c>
      <c r="C13" s="25">
        <v>0</v>
      </c>
      <c r="D13" s="25">
        <v>4</v>
      </c>
      <c r="F13" s="3" t="s">
        <v>4</v>
      </c>
      <c r="G13" s="25">
        <v>30</v>
      </c>
      <c r="H13" s="14">
        <v>2700</v>
      </c>
      <c r="I13" s="15">
        <f>labor_wk_tomatoes/2</f>
        <v>1.25</v>
      </c>
      <c r="J13" s="14">
        <f>rev_tomatoes*10%</f>
        <v>880</v>
      </c>
      <c r="K13" s="16">
        <v>1.2500000000000001E-2</v>
      </c>
    </row>
    <row r="14" spans="2:16" ht="15" thickBot="1" x14ac:dyDescent="0.4"/>
    <row r="15" spans="2:16" s="27" customFormat="1" ht="15" thickBot="1" x14ac:dyDescent="0.4">
      <c r="E15" s="28" t="s">
        <v>13</v>
      </c>
      <c r="F15" s="49" t="s">
        <v>57</v>
      </c>
      <c r="G15" s="50"/>
      <c r="H15" s="51"/>
      <c r="I15" s="49" t="s">
        <v>54</v>
      </c>
      <c r="J15" s="50"/>
      <c r="K15" s="51"/>
      <c r="L15" s="28" t="s">
        <v>58</v>
      </c>
      <c r="M15" s="28" t="s">
        <v>59</v>
      </c>
      <c r="N15" s="28" t="s">
        <v>0</v>
      </c>
      <c r="O15" s="18"/>
      <c r="P15" s="18"/>
    </row>
    <row r="16" spans="2:16" s="27" customFormat="1" ht="15" thickBot="1" x14ac:dyDescent="0.4">
      <c r="D16" s="28" t="s">
        <v>32</v>
      </c>
      <c r="E16" s="48" t="s">
        <v>33</v>
      </c>
      <c r="F16" s="48" t="s">
        <v>30</v>
      </c>
      <c r="G16" s="48" t="s">
        <v>55</v>
      </c>
      <c r="H16" s="48" t="s">
        <v>56</v>
      </c>
      <c r="I16" s="48" t="s">
        <v>5</v>
      </c>
      <c r="J16" s="48" t="s">
        <v>18</v>
      </c>
      <c r="K16" s="48" t="s">
        <v>19</v>
      </c>
      <c r="L16" s="48" t="s">
        <v>19</v>
      </c>
      <c r="M16" s="48" t="s">
        <v>19</v>
      </c>
      <c r="N16" s="48" t="s">
        <v>19</v>
      </c>
      <c r="O16" s="18"/>
      <c r="P16" s="18"/>
    </row>
    <row r="17" spans="1:17" s="17" customFormat="1" ht="24" thickBot="1" x14ac:dyDescent="0.4">
      <c r="A17" s="18"/>
      <c r="C17" s="28" t="s">
        <v>16</v>
      </c>
      <c r="D17" s="29">
        <f t="shared" ref="D17:H17" si="0">SUM(D18:D20)</f>
        <v>3</v>
      </c>
      <c r="E17" s="30">
        <f>SUM(E18:E20)</f>
        <v>26400</v>
      </c>
      <c r="F17" s="29">
        <f t="shared" si="0"/>
        <v>359.37000000000012</v>
      </c>
      <c r="G17" s="31">
        <f t="shared" si="0"/>
        <v>0.5</v>
      </c>
      <c r="H17" s="31">
        <f t="shared" si="0"/>
        <v>0</v>
      </c>
      <c r="I17" s="30">
        <f>SUM(I18:I20)</f>
        <v>25000</v>
      </c>
      <c r="J17" s="30">
        <f>SUM(J18:J20)</f>
        <v>2640</v>
      </c>
      <c r="K17" s="30">
        <f>SUM(I17:J17)</f>
        <v>27640</v>
      </c>
      <c r="L17" s="30">
        <f>costs_fixed</f>
        <v>20000</v>
      </c>
      <c r="M17" s="30">
        <f>K17+L17</f>
        <v>47640</v>
      </c>
      <c r="N17" s="45">
        <f>rev_total-costs_total</f>
        <v>-21240</v>
      </c>
      <c r="O17" s="18"/>
      <c r="P17" s="18"/>
    </row>
    <row r="18" spans="1:17" ht="24" thickBot="1" x14ac:dyDescent="0.4">
      <c r="B18" s="17"/>
      <c r="C18" s="28" t="s">
        <v>47</v>
      </c>
      <c r="D18" s="46">
        <v>3</v>
      </c>
      <c r="E18" s="32">
        <f>q_tomato*rev_tomatoes</f>
        <v>26400</v>
      </c>
      <c r="F18" s="33">
        <f>D18*labor_wk_tomatoes*season_length*(1+dim_tomatoes)^D18</f>
        <v>359.37000000000012</v>
      </c>
      <c r="G18" s="34" cm="1">
        <f t="array" ref="G18">MIN(labor_perm_max,labor_tomatoes/labour_hrs)*perc_field_perm</f>
        <v>0.5</v>
      </c>
      <c r="H18" s="34" cm="1">
        <f t="array" ref="H18">MIN(labor_temp_max,MAX(0,(labor_tomatoes-G18*labor_hrs_season)/labor_hrs_season))</f>
        <v>0</v>
      </c>
      <c r="I18" s="35">
        <f>(G18*wage_perm*labor_hrs_season) + (H18*wage_temp*labor_hrs_season)</f>
        <v>25000</v>
      </c>
      <c r="J18" s="35">
        <f>D18*fert_tomatoes</f>
        <v>2640</v>
      </c>
      <c r="K18" s="30">
        <f>SUM(I18:J18)</f>
        <v>27640</v>
      </c>
      <c r="L18" s="38"/>
      <c r="M18" s="30">
        <f>K18+L18</f>
        <v>27640</v>
      </c>
      <c r="N18" s="32">
        <f>E18-M18</f>
        <v>-1240</v>
      </c>
      <c r="Q18" s="36"/>
    </row>
    <row r="19" spans="1:17" ht="24" thickBot="1" x14ac:dyDescent="0.4">
      <c r="C19" s="28" t="s">
        <v>48</v>
      </c>
      <c r="D19" s="46">
        <v>0</v>
      </c>
      <c r="E19" s="32">
        <f>q_carrot*rev_carrots</f>
        <v>0</v>
      </c>
      <c r="F19" s="33">
        <f>D19*labor_wk_carrots*season_length*(1+dim_carrots)^D19</f>
        <v>0</v>
      </c>
      <c r="G19" s="34">
        <f>MIN(labor_perm_max,labor_carrots/labour_hrs)*perc_field_perm</f>
        <v>0</v>
      </c>
      <c r="H19" s="34">
        <f>MIN(labor_temp_max,MAX(0,(labor_carrots-G19*labor_hrs_season)/labor_hrs_season))</f>
        <v>0</v>
      </c>
      <c r="I19" s="35">
        <f>(G19*wage_perm*labor_hrs_season) + (H19*wage_temp*labor_hrs_season)</f>
        <v>0</v>
      </c>
      <c r="J19" s="35">
        <f>D19*fert_carrotrs</f>
        <v>0</v>
      </c>
      <c r="K19" s="30">
        <f t="shared" ref="K19" si="1">SUM(I19:J19)</f>
        <v>0</v>
      </c>
      <c r="L19" s="38"/>
      <c r="M19" s="30">
        <f t="shared" ref="M19" si="2">K19+L19</f>
        <v>0</v>
      </c>
      <c r="N19" s="32">
        <f>E19-M19</f>
        <v>0</v>
      </c>
      <c r="Q19" s="36"/>
    </row>
    <row r="20" spans="1:17" ht="24" thickBot="1" x14ac:dyDescent="0.4">
      <c r="C20" s="28" t="s">
        <v>24</v>
      </c>
      <c r="D20" s="46">
        <v>0</v>
      </c>
      <c r="E20" s="32">
        <f>q_mesculun*rev_mesculun</f>
        <v>0</v>
      </c>
      <c r="F20" s="33">
        <f>D20*labor_wk_mesculun*season_length*(1+dim_mesculun)^D20</f>
        <v>0</v>
      </c>
      <c r="G20" s="34">
        <f>MIN(labor_perm_max,labor_carrots/labour_hrs)*perc_field_perm</f>
        <v>0</v>
      </c>
      <c r="H20" s="34">
        <f>MIN(labor_temp_max,MAX(0,(labor_mesculun-G20*labor_hrs_season)/labor_hrs_season))</f>
        <v>0</v>
      </c>
      <c r="I20" s="35">
        <f>(G20*wage_perm*labor_hrs_season) + (H20*wage_temp*labor_hrs_season)</f>
        <v>0</v>
      </c>
      <c r="J20" s="35" cm="1">
        <f t="array" ref="J20">D20*fert_mesculun</f>
        <v>0</v>
      </c>
      <c r="K20" s="30">
        <f>SUM(I20:J20)</f>
        <v>0</v>
      </c>
      <c r="L20" s="38"/>
      <c r="M20" s="30">
        <f>K20+L20</f>
        <v>0</v>
      </c>
      <c r="N20" s="32">
        <f>E20-M20</f>
        <v>0</v>
      </c>
      <c r="Q20" s="36"/>
    </row>
    <row r="21" spans="1:17" x14ac:dyDescent="0.35">
      <c r="Q21" s="36"/>
    </row>
    <row r="22" spans="1:17" ht="15" thickBot="1" x14ac:dyDescent="0.4">
      <c r="H22" s="36"/>
    </row>
    <row r="23" spans="1:17" s="27" customFormat="1" ht="15" thickBot="1" x14ac:dyDescent="0.4">
      <c r="B23" s="1" t="s">
        <v>12</v>
      </c>
      <c r="C23" s="28" t="s">
        <v>47</v>
      </c>
      <c r="D23" s="28" t="s">
        <v>45</v>
      </c>
      <c r="E23" s="28" t="s">
        <v>46</v>
      </c>
      <c r="F23" s="28" t="s">
        <v>10</v>
      </c>
      <c r="G23" s="28" t="s">
        <v>37</v>
      </c>
      <c r="H23" s="28" t="s">
        <v>38</v>
      </c>
      <c r="I23" s="28" t="s">
        <v>39</v>
      </c>
      <c r="J23" s="28" t="s">
        <v>40</v>
      </c>
      <c r="K23" s="28" t="s">
        <v>41</v>
      </c>
      <c r="L23" s="28" t="s">
        <v>42</v>
      </c>
      <c r="M23" s="28" t="s">
        <v>43</v>
      </c>
      <c r="N23" s="28" t="s">
        <v>44</v>
      </c>
      <c r="O23" s="28" t="s">
        <v>61</v>
      </c>
      <c r="P23" s="28" t="s">
        <v>52</v>
      </c>
      <c r="Q23" s="28" t="s">
        <v>62</v>
      </c>
    </row>
    <row r="24" spans="1:17" ht="15" thickBot="1" x14ac:dyDescent="0.4">
      <c r="D24" s="37">
        <v>0</v>
      </c>
      <c r="E24" s="38">
        <f t="shared" ref="E24:E44" si="3">D24*rev_tomatoes</f>
        <v>0</v>
      </c>
      <c r="F24" s="39">
        <f t="shared" ref="F24:F44" si="4">D24*labor_wk_tomatoes*season_length*(1+dim_tomatoes)^D24</f>
        <v>0</v>
      </c>
      <c r="G24" s="40">
        <f t="shared" ref="G24:G44" si="5">MIN(labor_perm_max,(D24/q_beds*F24/labor_hrs_season))*perc_field_perm</f>
        <v>0</v>
      </c>
      <c r="H24" s="40">
        <f t="shared" ref="H24:H44" si="6">MIN(labor_hrs_season,MAX(0,(F24-G24*labor_hrs_season)/labor_hrs_season))*perc_field_temp</f>
        <v>0</v>
      </c>
      <c r="I24" s="38">
        <f t="shared" ref="I24:I44" si="7">(G24*wage_perm*labor_hrs_season) + (H24*wage_temp*labor_hrs_season)</f>
        <v>0</v>
      </c>
      <c r="J24" s="38">
        <f t="shared" ref="J24:J44" si="8">D24*fert_tomatoes</f>
        <v>0</v>
      </c>
      <c r="K24" s="30">
        <f>SUM(I24:J24)</f>
        <v>0</v>
      </c>
      <c r="L24" s="38"/>
      <c r="M24" s="30">
        <f>K24+L24</f>
        <v>0</v>
      </c>
      <c r="N24" s="30">
        <f t="shared" ref="N24:N34" si="9">E24-M24</f>
        <v>0</v>
      </c>
      <c r="O24" s="41"/>
      <c r="P24" s="41" t="str">
        <f t="shared" ref="P24:P44" si="10">IF(AND(rev_tomatoes&gt;O24,rev_tomatoes&lt;O25),"&lt;-- P ~ MC","")</f>
        <v/>
      </c>
      <c r="Q24" s="41"/>
    </row>
    <row r="25" spans="1:17" ht="15" thickBot="1" x14ac:dyDescent="0.4">
      <c r="D25" s="47">
        <f>D24+1</f>
        <v>1</v>
      </c>
      <c r="E25" s="38">
        <f t="shared" si="3"/>
        <v>8800</v>
      </c>
      <c r="F25" s="39">
        <f t="shared" si="4"/>
        <v>99.000000000000014</v>
      </c>
      <c r="G25" s="40">
        <f t="shared" si="5"/>
        <v>1.1458333333333333E-2</v>
      </c>
      <c r="H25" s="40">
        <f t="shared" si="6"/>
        <v>5.7291666666666678E-2</v>
      </c>
      <c r="I25" s="38">
        <f t="shared" si="7"/>
        <v>2005.2083333333335</v>
      </c>
      <c r="J25" s="38">
        <f t="shared" si="8"/>
        <v>880</v>
      </c>
      <c r="K25" s="30">
        <f t="shared" ref="K25:K34" si="11">SUM(I25:J25)</f>
        <v>2885.2083333333335</v>
      </c>
      <c r="L25" s="38"/>
      <c r="M25" s="30">
        <f t="shared" ref="M25:M34" si="12">K25+L25</f>
        <v>2885.2083333333335</v>
      </c>
      <c r="N25" s="30">
        <f t="shared" si="9"/>
        <v>5914.7916666666661</v>
      </c>
      <c r="O25" s="41"/>
      <c r="P25" s="41" t="str">
        <f t="shared" si="10"/>
        <v/>
      </c>
      <c r="Q25" s="41">
        <f>(D25+D24)/2</f>
        <v>0.5</v>
      </c>
    </row>
    <row r="26" spans="1:17" ht="15" thickBot="1" x14ac:dyDescent="0.4">
      <c r="D26" s="47">
        <f t="shared" ref="D26:D44" si="13">D25+1</f>
        <v>2</v>
      </c>
      <c r="E26" s="38">
        <f t="shared" si="3"/>
        <v>17600</v>
      </c>
      <c r="F26" s="39">
        <f t="shared" si="4"/>
        <v>217.80000000000004</v>
      </c>
      <c r="G26" s="40">
        <f t="shared" si="5"/>
        <v>5.0416666666666672E-2</v>
      </c>
      <c r="H26" s="40">
        <f t="shared" si="6"/>
        <v>0.10083333333333336</v>
      </c>
      <c r="I26" s="38">
        <f t="shared" si="7"/>
        <v>5041.6666666666679</v>
      </c>
      <c r="J26" s="38">
        <f t="shared" si="8"/>
        <v>1760</v>
      </c>
      <c r="K26" s="30">
        <f t="shared" si="11"/>
        <v>6801.6666666666679</v>
      </c>
      <c r="L26" s="38"/>
      <c r="M26" s="30">
        <f>K26+L26</f>
        <v>6801.6666666666679</v>
      </c>
      <c r="N26" s="30">
        <f t="shared" si="9"/>
        <v>10798.333333333332</v>
      </c>
      <c r="O26" s="38">
        <f>M26-M25</f>
        <v>3916.4583333333344</v>
      </c>
      <c r="P26" s="41" t="str">
        <f t="shared" si="10"/>
        <v/>
      </c>
      <c r="Q26" s="41">
        <f>(D26+D25)/2</f>
        <v>1.5</v>
      </c>
    </row>
    <row r="27" spans="1:17" ht="15" thickBot="1" x14ac:dyDescent="0.4">
      <c r="D27" s="47">
        <f t="shared" si="13"/>
        <v>3</v>
      </c>
      <c r="E27" s="38">
        <f t="shared" si="3"/>
        <v>26400</v>
      </c>
      <c r="F27" s="39">
        <f t="shared" si="4"/>
        <v>359.37000000000012</v>
      </c>
      <c r="G27" s="40">
        <f t="shared" si="5"/>
        <v>0.12478125000000004</v>
      </c>
      <c r="H27" s="40">
        <f t="shared" si="6"/>
        <v>0.12478125000000004</v>
      </c>
      <c r="I27" s="38">
        <f t="shared" si="7"/>
        <v>9358.5937500000036</v>
      </c>
      <c r="J27" s="38">
        <f t="shared" si="8"/>
        <v>2640</v>
      </c>
      <c r="K27" s="30">
        <f t="shared" si="11"/>
        <v>11998.593750000004</v>
      </c>
      <c r="L27" s="38"/>
      <c r="M27" s="30">
        <f t="shared" si="12"/>
        <v>11998.593750000004</v>
      </c>
      <c r="N27" s="30">
        <f t="shared" si="9"/>
        <v>14401.406249999996</v>
      </c>
      <c r="O27" s="38">
        <f t="shared" ref="O27:O44" si="14">M27-M26</f>
        <v>5196.9270833333358</v>
      </c>
      <c r="P27" s="41" t="str">
        <f t="shared" si="10"/>
        <v/>
      </c>
      <c r="Q27" s="41">
        <f>(D27+D26)/2</f>
        <v>2.5</v>
      </c>
    </row>
    <row r="28" spans="1:17" ht="15" thickBot="1" x14ac:dyDescent="0.4">
      <c r="D28" s="47">
        <f t="shared" si="13"/>
        <v>4</v>
      </c>
      <c r="E28" s="38">
        <f t="shared" si="3"/>
        <v>35200</v>
      </c>
      <c r="F28" s="39">
        <f t="shared" si="4"/>
        <v>527.07600000000014</v>
      </c>
      <c r="G28" s="40">
        <f t="shared" si="5"/>
        <v>0.24401666666666672</v>
      </c>
      <c r="H28" s="40">
        <f t="shared" si="6"/>
        <v>0.12200833333333337</v>
      </c>
      <c r="I28" s="38">
        <f t="shared" si="7"/>
        <v>15251.04166666667</v>
      </c>
      <c r="J28" s="38">
        <f t="shared" si="8"/>
        <v>3520</v>
      </c>
      <c r="K28" s="30">
        <f t="shared" si="11"/>
        <v>18771.041666666672</v>
      </c>
      <c r="L28" s="38"/>
      <c r="M28" s="30">
        <f t="shared" si="12"/>
        <v>18771.041666666672</v>
      </c>
      <c r="N28" s="30">
        <f t="shared" si="9"/>
        <v>16428.958333333328</v>
      </c>
      <c r="O28" s="38">
        <f t="shared" si="14"/>
        <v>6772.4479166666679</v>
      </c>
      <c r="P28" s="41" t="str">
        <f t="shared" si="10"/>
        <v/>
      </c>
      <c r="Q28" s="41">
        <f t="shared" ref="Q28:Q34" si="15">(D28+D27)/2</f>
        <v>3.5</v>
      </c>
    </row>
    <row r="29" spans="1:17" ht="15" thickBot="1" x14ac:dyDescent="0.4">
      <c r="D29" s="47">
        <f t="shared" si="13"/>
        <v>5</v>
      </c>
      <c r="E29" s="38">
        <f t="shared" si="3"/>
        <v>44000</v>
      </c>
      <c r="F29" s="39">
        <f t="shared" si="4"/>
        <v>724.72950000000026</v>
      </c>
      <c r="G29" s="40">
        <f t="shared" si="5"/>
        <v>0.41940364583333345</v>
      </c>
      <c r="H29" s="40">
        <f t="shared" si="6"/>
        <v>8.3880729166666709E-2</v>
      </c>
      <c r="I29" s="38">
        <f t="shared" si="7"/>
        <v>23067.200520833339</v>
      </c>
      <c r="J29" s="38">
        <f t="shared" si="8"/>
        <v>4400</v>
      </c>
      <c r="K29" s="30">
        <f t="shared" si="11"/>
        <v>27467.200520833339</v>
      </c>
      <c r="L29" s="38"/>
      <c r="M29" s="30">
        <f t="shared" si="12"/>
        <v>27467.200520833339</v>
      </c>
      <c r="N29" s="30">
        <f t="shared" si="9"/>
        <v>16532.799479166661</v>
      </c>
      <c r="O29" s="38">
        <f t="shared" si="14"/>
        <v>8696.1588541666679</v>
      </c>
      <c r="P29" s="41" t="str">
        <f t="shared" si="10"/>
        <v/>
      </c>
      <c r="Q29" s="41">
        <f t="shared" si="15"/>
        <v>4.5</v>
      </c>
    </row>
    <row r="30" spans="1:17" ht="15" thickBot="1" x14ac:dyDescent="0.4">
      <c r="D30" s="47">
        <f t="shared" si="13"/>
        <v>6</v>
      </c>
      <c r="E30" s="38">
        <f t="shared" si="3"/>
        <v>52800</v>
      </c>
      <c r="F30" s="39">
        <f t="shared" si="4"/>
        <v>956.64294000000041</v>
      </c>
      <c r="G30" s="40">
        <f t="shared" si="5"/>
        <v>0.5</v>
      </c>
      <c r="H30" s="40">
        <f t="shared" si="6"/>
        <v>0.16433537500000028</v>
      </c>
      <c r="I30" s="38">
        <f t="shared" si="7"/>
        <v>29108.384375000009</v>
      </c>
      <c r="J30" s="38">
        <f t="shared" si="8"/>
        <v>5280</v>
      </c>
      <c r="K30" s="30">
        <f t="shared" si="11"/>
        <v>34388.384375000009</v>
      </c>
      <c r="L30" s="38"/>
      <c r="M30" s="30">
        <f t="shared" si="12"/>
        <v>34388.384375000009</v>
      </c>
      <c r="N30" s="30">
        <f t="shared" si="9"/>
        <v>18411.615624999991</v>
      </c>
      <c r="O30" s="38">
        <f t="shared" si="14"/>
        <v>6921.1838541666693</v>
      </c>
      <c r="P30" s="41" t="str">
        <f t="shared" si="10"/>
        <v/>
      </c>
      <c r="Q30" s="41">
        <f t="shared" si="15"/>
        <v>5.5</v>
      </c>
    </row>
    <row r="31" spans="1:17" ht="15" thickBot="1" x14ac:dyDescent="0.4">
      <c r="D31" s="47">
        <f t="shared" si="13"/>
        <v>7</v>
      </c>
      <c r="E31" s="38">
        <f t="shared" si="3"/>
        <v>61600</v>
      </c>
      <c r="F31" s="39">
        <f t="shared" si="4"/>
        <v>1227.6917730000007</v>
      </c>
      <c r="G31" s="40">
        <f t="shared" si="5"/>
        <v>0.5</v>
      </c>
      <c r="H31" s="40">
        <f t="shared" si="6"/>
        <v>0.35256373125000046</v>
      </c>
      <c r="I31" s="38">
        <f t="shared" si="7"/>
        <v>33814.09328125001</v>
      </c>
      <c r="J31" s="38">
        <f t="shared" si="8"/>
        <v>6160</v>
      </c>
      <c r="K31" s="30">
        <f t="shared" si="11"/>
        <v>39974.09328125001</v>
      </c>
      <c r="L31" s="38"/>
      <c r="M31" s="30">
        <f t="shared" si="12"/>
        <v>39974.09328125001</v>
      </c>
      <c r="N31" s="30">
        <f t="shared" si="9"/>
        <v>21625.90671874999</v>
      </c>
      <c r="O31" s="38">
        <f t="shared" si="14"/>
        <v>5585.7089062500017</v>
      </c>
      <c r="P31" s="41" t="str">
        <f t="shared" si="10"/>
        <v/>
      </c>
      <c r="Q31" s="41">
        <f t="shared" si="15"/>
        <v>6.5</v>
      </c>
    </row>
    <row r="32" spans="1:17" ht="15" thickBot="1" x14ac:dyDescent="0.4">
      <c r="D32" s="47">
        <f t="shared" si="13"/>
        <v>8</v>
      </c>
      <c r="E32" s="38">
        <f t="shared" si="3"/>
        <v>70400</v>
      </c>
      <c r="F32" s="39">
        <f t="shared" si="4"/>
        <v>1543.3839432000009</v>
      </c>
      <c r="G32" s="40">
        <f t="shared" si="5"/>
        <v>0.5</v>
      </c>
      <c r="H32" s="40">
        <f t="shared" si="6"/>
        <v>0.57179440500000056</v>
      </c>
      <c r="I32" s="38">
        <f t="shared" si="7"/>
        <v>39294.860125000014</v>
      </c>
      <c r="J32" s="38">
        <f t="shared" si="8"/>
        <v>7040</v>
      </c>
      <c r="K32" s="30">
        <f t="shared" si="11"/>
        <v>46334.860125000014</v>
      </c>
      <c r="L32" s="38"/>
      <c r="M32" s="30">
        <f t="shared" si="12"/>
        <v>46334.860125000014</v>
      </c>
      <c r="N32" s="30">
        <f t="shared" si="9"/>
        <v>24065.139874999986</v>
      </c>
      <c r="O32" s="38">
        <f t="shared" si="14"/>
        <v>6360.7668437500033</v>
      </c>
      <c r="P32" s="41" t="str">
        <f t="shared" si="10"/>
        <v/>
      </c>
      <c r="Q32" s="41">
        <f t="shared" si="15"/>
        <v>7.5</v>
      </c>
    </row>
    <row r="33" spans="3:42" ht="15" thickBot="1" x14ac:dyDescent="0.4">
      <c r="D33" s="47">
        <f t="shared" si="13"/>
        <v>9</v>
      </c>
      <c r="E33" s="38">
        <f t="shared" si="3"/>
        <v>79200</v>
      </c>
      <c r="F33" s="39">
        <f t="shared" si="4"/>
        <v>1909.9376297100011</v>
      </c>
      <c r="G33" s="40">
        <f t="shared" si="5"/>
        <v>0.5</v>
      </c>
      <c r="H33" s="40">
        <f t="shared" si="6"/>
        <v>0.82634557618750082</v>
      </c>
      <c r="I33" s="38">
        <f>(G33*wage_perm*labor_hrs_season) + (H33*wage_temp*labor_hrs_season)</f>
        <v>45658.639404687521</v>
      </c>
      <c r="J33" s="38">
        <f>D33*fert_tomatoes</f>
        <v>7920</v>
      </c>
      <c r="K33" s="30">
        <f>SUM(I33:J33)</f>
        <v>53578.639404687521</v>
      </c>
      <c r="L33" s="38"/>
      <c r="M33" s="30">
        <f>K33+L33</f>
        <v>53578.639404687521</v>
      </c>
      <c r="N33" s="30">
        <f t="shared" si="9"/>
        <v>25621.360595312479</v>
      </c>
      <c r="O33" s="38">
        <f t="shared" si="14"/>
        <v>7243.7792796875074</v>
      </c>
      <c r="P33" s="41" t="str">
        <f>IF(AND(rev_tomatoes&gt;O33,rev_tomatoes&lt;O34),"&lt;-- P ~ MC","")</f>
        <v/>
      </c>
      <c r="Q33" s="41">
        <f t="shared" si="15"/>
        <v>8.5</v>
      </c>
    </row>
    <row r="34" spans="3:42" ht="15" thickBot="1" x14ac:dyDescent="0.4">
      <c r="D34" s="47">
        <f t="shared" si="13"/>
        <v>10</v>
      </c>
      <c r="E34" s="38">
        <f t="shared" si="3"/>
        <v>88000</v>
      </c>
      <c r="F34" s="39">
        <f t="shared" si="4"/>
        <v>2334.3682140900019</v>
      </c>
      <c r="G34" s="40">
        <f t="shared" si="5"/>
        <v>0.5</v>
      </c>
      <c r="H34" s="40">
        <f t="shared" si="6"/>
        <v>1.1210890375625013</v>
      </c>
      <c r="I34" s="38">
        <f t="shared" si="7"/>
        <v>53027.22593906254</v>
      </c>
      <c r="J34" s="38">
        <f t="shared" si="8"/>
        <v>8800</v>
      </c>
      <c r="K34" s="30">
        <f t="shared" si="11"/>
        <v>61827.22593906254</v>
      </c>
      <c r="L34" s="38"/>
      <c r="M34" s="30">
        <f t="shared" si="12"/>
        <v>61827.22593906254</v>
      </c>
      <c r="N34" s="30">
        <f t="shared" si="9"/>
        <v>26172.77406093746</v>
      </c>
      <c r="O34" s="38">
        <f>M34-M33</f>
        <v>8248.5865343750193</v>
      </c>
      <c r="P34" s="41" t="str">
        <f t="shared" si="10"/>
        <v>&lt;-- P ~ MC</v>
      </c>
      <c r="Q34" s="41">
        <f t="shared" si="15"/>
        <v>9.5</v>
      </c>
    </row>
    <row r="35" spans="3:42" ht="15" thickBot="1" x14ac:dyDescent="0.4">
      <c r="D35" s="47">
        <f t="shared" si="13"/>
        <v>11</v>
      </c>
      <c r="E35" s="38">
        <f t="shared" si="3"/>
        <v>96800</v>
      </c>
      <c r="F35" s="39">
        <f t="shared" si="4"/>
        <v>2824.5855390489023</v>
      </c>
      <c r="G35" s="40">
        <f t="shared" si="5"/>
        <v>0.5</v>
      </c>
      <c r="H35" s="40">
        <f t="shared" si="6"/>
        <v>1.4615177354506266</v>
      </c>
      <c r="I35" s="38">
        <f t="shared" si="7"/>
        <v>61537.943386265659</v>
      </c>
      <c r="J35" s="38">
        <f t="shared" si="8"/>
        <v>9680</v>
      </c>
      <c r="K35" s="30">
        <f t="shared" ref="K35:K44" si="16">SUM(I35:J35)</f>
        <v>71217.943386265659</v>
      </c>
      <c r="L35" s="38"/>
      <c r="M35" s="30">
        <f t="shared" ref="M35:M44" si="17">K35+L35</f>
        <v>71217.943386265659</v>
      </c>
      <c r="N35" s="30">
        <f t="shared" ref="N35:N44" si="18">E35-M35</f>
        <v>25582.056613734341</v>
      </c>
      <c r="O35" s="38">
        <f t="shared" si="14"/>
        <v>9390.7174472031184</v>
      </c>
      <c r="P35" s="41" t="str">
        <f t="shared" si="10"/>
        <v/>
      </c>
      <c r="Q35" s="41">
        <f t="shared" ref="Q35:Q44" si="19">(D35+D34)/2</f>
        <v>10.5</v>
      </c>
    </row>
    <row r="36" spans="3:42" ht="15" thickBot="1" x14ac:dyDescent="0.4">
      <c r="D36" s="47">
        <f t="shared" si="13"/>
        <v>12</v>
      </c>
      <c r="E36" s="38">
        <f t="shared" si="3"/>
        <v>105600</v>
      </c>
      <c r="F36" s="39">
        <f t="shared" si="4"/>
        <v>3389.502646858683</v>
      </c>
      <c r="G36" s="40">
        <f t="shared" si="5"/>
        <v>0.5</v>
      </c>
      <c r="H36" s="40">
        <f t="shared" si="6"/>
        <v>1.8538212825407521</v>
      </c>
      <c r="I36" s="38">
        <f t="shared" si="7"/>
        <v>71345.532063518796</v>
      </c>
      <c r="J36" s="38">
        <f t="shared" si="8"/>
        <v>10560</v>
      </c>
      <c r="K36" s="30">
        <f t="shared" si="16"/>
        <v>81905.532063518796</v>
      </c>
      <c r="L36" s="38"/>
      <c r="M36" s="30">
        <f t="shared" si="17"/>
        <v>81905.532063518796</v>
      </c>
      <c r="N36" s="30">
        <f t="shared" si="18"/>
        <v>23694.467936481204</v>
      </c>
      <c r="O36" s="38">
        <f t="shared" si="14"/>
        <v>10687.588677253138</v>
      </c>
      <c r="P36" s="41" t="str">
        <f t="shared" si="10"/>
        <v/>
      </c>
      <c r="Q36" s="41">
        <f t="shared" si="19"/>
        <v>11.5</v>
      </c>
    </row>
    <row r="37" spans="3:42" ht="15" thickBot="1" x14ac:dyDescent="0.4">
      <c r="D37" s="47">
        <f t="shared" si="13"/>
        <v>13</v>
      </c>
      <c r="E37" s="38">
        <f t="shared" si="3"/>
        <v>114400</v>
      </c>
      <c r="F37" s="39">
        <f t="shared" si="4"/>
        <v>4039.1573208399304</v>
      </c>
      <c r="G37" s="40">
        <f t="shared" si="5"/>
        <v>0.5</v>
      </c>
      <c r="H37" s="40">
        <f t="shared" si="6"/>
        <v>2.3049703616943962</v>
      </c>
      <c r="I37" s="38">
        <f t="shared" si="7"/>
        <v>82624.259042359903</v>
      </c>
      <c r="J37" s="38">
        <f t="shared" si="8"/>
        <v>11440</v>
      </c>
      <c r="K37" s="30">
        <f t="shared" si="16"/>
        <v>94064.259042359903</v>
      </c>
      <c r="L37" s="38"/>
      <c r="M37" s="30">
        <f t="shared" si="17"/>
        <v>94064.259042359903</v>
      </c>
      <c r="N37" s="30">
        <f t="shared" si="18"/>
        <v>20335.740957640097</v>
      </c>
      <c r="O37" s="38">
        <f t="shared" si="14"/>
        <v>12158.726978841107</v>
      </c>
      <c r="P37" s="41" t="str">
        <f t="shared" si="10"/>
        <v/>
      </c>
      <c r="Q37" s="41">
        <f t="shared" si="19"/>
        <v>12.5</v>
      </c>
    </row>
    <row r="38" spans="3:42" ht="15" thickBot="1" x14ac:dyDescent="0.4">
      <c r="D38" s="47">
        <f t="shared" si="13"/>
        <v>14</v>
      </c>
      <c r="E38" s="38">
        <f t="shared" si="3"/>
        <v>123200</v>
      </c>
      <c r="F38" s="39">
        <f t="shared" si="4"/>
        <v>4784.8479031488414</v>
      </c>
      <c r="G38" s="40">
        <f t="shared" si="5"/>
        <v>0.5</v>
      </c>
      <c r="H38" s="40">
        <f t="shared" si="6"/>
        <v>2.822811043853362</v>
      </c>
      <c r="I38" s="38">
        <f t="shared" si="7"/>
        <v>95570.276096334055</v>
      </c>
      <c r="J38" s="38">
        <f t="shared" si="8"/>
        <v>12320</v>
      </c>
      <c r="K38" s="30">
        <f t="shared" si="16"/>
        <v>107890.27609633406</v>
      </c>
      <c r="L38" s="38"/>
      <c r="M38" s="30">
        <f t="shared" si="17"/>
        <v>107890.27609633406</v>
      </c>
      <c r="N38" s="30">
        <f t="shared" si="18"/>
        <v>15309.723903665945</v>
      </c>
      <c r="O38" s="38">
        <f t="shared" si="14"/>
        <v>13826.017053974152</v>
      </c>
      <c r="P38" s="41" t="str">
        <f t="shared" si="10"/>
        <v/>
      </c>
      <c r="Q38" s="41">
        <f t="shared" si="19"/>
        <v>13.5</v>
      </c>
    </row>
    <row r="39" spans="3:42" ht="15" thickBot="1" x14ac:dyDescent="0.4">
      <c r="D39" s="47">
        <f t="shared" si="13"/>
        <v>15</v>
      </c>
      <c r="E39" s="38">
        <f t="shared" si="3"/>
        <v>132000</v>
      </c>
      <c r="F39" s="39">
        <f t="shared" si="4"/>
        <v>5639.2850287111351</v>
      </c>
      <c r="G39" s="40">
        <f t="shared" si="5"/>
        <v>0.5</v>
      </c>
      <c r="H39" s="40">
        <f t="shared" si="6"/>
        <v>3.4161701588271773</v>
      </c>
      <c r="I39" s="38">
        <f t="shared" si="7"/>
        <v>110404.25397067943</v>
      </c>
      <c r="J39" s="38">
        <f t="shared" si="8"/>
        <v>13200</v>
      </c>
      <c r="K39" s="30">
        <f t="shared" si="16"/>
        <v>123604.25397067943</v>
      </c>
      <c r="L39" s="38"/>
      <c r="M39" s="30">
        <f t="shared" si="17"/>
        <v>123604.25397067943</v>
      </c>
      <c r="N39" s="30">
        <f t="shared" si="18"/>
        <v>8395.7460293205659</v>
      </c>
      <c r="O39" s="38">
        <f t="shared" si="14"/>
        <v>15713.977874345379</v>
      </c>
      <c r="P39" s="41" t="str">
        <f t="shared" si="10"/>
        <v/>
      </c>
      <c r="Q39" s="41">
        <f t="shared" si="19"/>
        <v>14.5</v>
      </c>
    </row>
    <row r="40" spans="3:42" ht="15" thickBot="1" x14ac:dyDescent="0.4">
      <c r="D40" s="47">
        <f t="shared" si="13"/>
        <v>16</v>
      </c>
      <c r="E40" s="38">
        <f t="shared" si="3"/>
        <v>140800</v>
      </c>
      <c r="F40" s="39">
        <f t="shared" si="4"/>
        <v>6616.761100354398</v>
      </c>
      <c r="G40" s="40">
        <f t="shared" si="5"/>
        <v>0.5</v>
      </c>
      <c r="H40" s="40">
        <f t="shared" si="6"/>
        <v>4.0949729863572211</v>
      </c>
      <c r="I40" s="38">
        <f t="shared" si="7"/>
        <v>127374.32465893052</v>
      </c>
      <c r="J40" s="38">
        <f t="shared" si="8"/>
        <v>14080</v>
      </c>
      <c r="K40" s="30">
        <f t="shared" si="16"/>
        <v>141454.32465893053</v>
      </c>
      <c r="L40" s="38"/>
      <c r="M40" s="30">
        <f t="shared" si="17"/>
        <v>141454.32465893053</v>
      </c>
      <c r="N40" s="30">
        <f t="shared" si="18"/>
        <v>-654.3246589305345</v>
      </c>
      <c r="O40" s="38">
        <f t="shared" si="14"/>
        <v>17850.0706882511</v>
      </c>
      <c r="P40" s="41" t="str">
        <f t="shared" si="10"/>
        <v/>
      </c>
      <c r="Q40" s="41">
        <f t="shared" si="19"/>
        <v>15.5</v>
      </c>
    </row>
    <row r="41" spans="3:42" ht="15" thickBot="1" x14ac:dyDescent="0.4">
      <c r="D41" s="47">
        <f t="shared" si="13"/>
        <v>17</v>
      </c>
      <c r="E41" s="38">
        <f t="shared" si="3"/>
        <v>149600</v>
      </c>
      <c r="F41" s="39">
        <f t="shared" si="4"/>
        <v>7733.3395360392033</v>
      </c>
      <c r="G41" s="40">
        <f t="shared" si="5"/>
        <v>0.5</v>
      </c>
      <c r="H41" s="40">
        <f t="shared" si="6"/>
        <v>4.8703746778050023</v>
      </c>
      <c r="I41" s="38">
        <f t="shared" si="7"/>
        <v>146759.36694512505</v>
      </c>
      <c r="J41" s="38">
        <f t="shared" si="8"/>
        <v>14960</v>
      </c>
      <c r="K41" s="30">
        <f t="shared" si="16"/>
        <v>161719.36694512505</v>
      </c>
      <c r="L41" s="38"/>
      <c r="M41" s="30">
        <f t="shared" si="17"/>
        <v>161719.36694512505</v>
      </c>
      <c r="N41" s="30">
        <f t="shared" si="18"/>
        <v>-12119.366945125046</v>
      </c>
      <c r="O41" s="38">
        <f t="shared" si="14"/>
        <v>20265.042286194512</v>
      </c>
      <c r="P41" s="41" t="str">
        <f t="shared" si="10"/>
        <v/>
      </c>
      <c r="Q41" s="41">
        <f t="shared" si="19"/>
        <v>16.5</v>
      </c>
    </row>
    <row r="42" spans="3:42" ht="15" thickBot="1" x14ac:dyDescent="0.4">
      <c r="D42" s="47">
        <f t="shared" si="13"/>
        <v>18</v>
      </c>
      <c r="E42" s="38">
        <f t="shared" si="3"/>
        <v>158400</v>
      </c>
      <c r="F42" s="39">
        <f t="shared" si="4"/>
        <v>9007.0660478574246</v>
      </c>
      <c r="G42" s="40">
        <f t="shared" si="5"/>
        <v>0.5</v>
      </c>
      <c r="H42" s="40">
        <f t="shared" si="6"/>
        <v>5.7549069776787674</v>
      </c>
      <c r="I42" s="38">
        <f t="shared" si="7"/>
        <v>168872.6744419692</v>
      </c>
      <c r="J42" s="38">
        <f t="shared" si="8"/>
        <v>15840</v>
      </c>
      <c r="K42" s="30">
        <f t="shared" si="16"/>
        <v>184712.6744419692</v>
      </c>
      <c r="L42" s="38"/>
      <c r="M42" s="30">
        <f t="shared" si="17"/>
        <v>184712.6744419692</v>
      </c>
      <c r="N42" s="30">
        <f t="shared" si="18"/>
        <v>-26312.674441969197</v>
      </c>
      <c r="O42" s="38">
        <f t="shared" si="14"/>
        <v>22993.307496844151</v>
      </c>
      <c r="P42" s="41" t="str">
        <f t="shared" si="10"/>
        <v/>
      </c>
      <c r="Q42" s="41">
        <f t="shared" si="19"/>
        <v>17.5</v>
      </c>
    </row>
    <row r="43" spans="3:42" ht="15" thickBot="1" x14ac:dyDescent="0.4">
      <c r="D43" s="47">
        <f t="shared" si="13"/>
        <v>19</v>
      </c>
      <c r="E43" s="38">
        <f t="shared" si="3"/>
        <v>167200</v>
      </c>
      <c r="F43" s="39">
        <f t="shared" si="4"/>
        <v>10458.204466678902</v>
      </c>
      <c r="G43" s="40">
        <f t="shared" si="5"/>
        <v>0.5</v>
      </c>
      <c r="H43" s="40">
        <f t="shared" si="6"/>
        <v>6.7626419907492377</v>
      </c>
      <c r="I43" s="38">
        <f t="shared" si="7"/>
        <v>194066.04976873094</v>
      </c>
      <c r="J43" s="38">
        <f t="shared" si="8"/>
        <v>16720</v>
      </c>
      <c r="K43" s="30">
        <f t="shared" si="16"/>
        <v>210786.04976873094</v>
      </c>
      <c r="L43" s="38"/>
      <c r="M43" s="30">
        <f t="shared" si="17"/>
        <v>210786.04976873094</v>
      </c>
      <c r="N43" s="30">
        <f t="shared" si="18"/>
        <v>-43586.04976873094</v>
      </c>
      <c r="O43" s="38">
        <f t="shared" si="14"/>
        <v>26073.375326761743</v>
      </c>
      <c r="P43" s="41" t="str">
        <f t="shared" si="10"/>
        <v/>
      </c>
      <c r="Q43" s="41">
        <f t="shared" si="19"/>
        <v>18.5</v>
      </c>
    </row>
    <row r="44" spans="3:42" ht="15" thickBot="1" x14ac:dyDescent="0.4">
      <c r="D44" s="47">
        <f t="shared" si="13"/>
        <v>20</v>
      </c>
      <c r="E44" s="38">
        <f t="shared" si="3"/>
        <v>176000</v>
      </c>
      <c r="F44" s="39">
        <f t="shared" si="4"/>
        <v>12109.499908786096</v>
      </c>
      <c r="G44" s="40">
        <f t="shared" si="5"/>
        <v>0.5</v>
      </c>
      <c r="H44" s="40">
        <f t="shared" si="6"/>
        <v>7.9093749366570112</v>
      </c>
      <c r="I44" s="38">
        <f t="shared" si="7"/>
        <v>222734.37341642525</v>
      </c>
      <c r="J44" s="38">
        <f t="shared" si="8"/>
        <v>17600</v>
      </c>
      <c r="K44" s="30">
        <f t="shared" si="16"/>
        <v>240334.37341642525</v>
      </c>
      <c r="L44" s="38"/>
      <c r="M44" s="30">
        <f t="shared" si="17"/>
        <v>240334.37341642525</v>
      </c>
      <c r="N44" s="30">
        <f t="shared" si="18"/>
        <v>-64334.373416425253</v>
      </c>
      <c r="O44" s="38">
        <f t="shared" si="14"/>
        <v>29548.323647694313</v>
      </c>
      <c r="P44" s="41" t="str">
        <f t="shared" si="10"/>
        <v/>
      </c>
      <c r="Q44" s="41">
        <f t="shared" si="19"/>
        <v>19.5</v>
      </c>
    </row>
    <row r="45" spans="3:42" ht="15" thickBot="1" x14ac:dyDescent="0.4">
      <c r="F45" s="42"/>
      <c r="K45" s="17"/>
      <c r="M45" s="43"/>
    </row>
    <row r="46" spans="3:42" ht="15" thickBot="1" x14ac:dyDescent="0.4">
      <c r="C46" s="28" t="s">
        <v>48</v>
      </c>
      <c r="D46" s="28" t="s">
        <v>45</v>
      </c>
      <c r="E46" s="28" t="s">
        <v>46</v>
      </c>
      <c r="F46" s="28" t="s">
        <v>10</v>
      </c>
      <c r="G46" s="28" t="s">
        <v>37</v>
      </c>
      <c r="H46" s="28" t="s">
        <v>38</v>
      </c>
      <c r="I46" s="28" t="s">
        <v>39</v>
      </c>
      <c r="J46" s="28" t="s">
        <v>40</v>
      </c>
      <c r="K46" s="28" t="s">
        <v>41</v>
      </c>
      <c r="L46" s="28" t="s">
        <v>42</v>
      </c>
      <c r="M46" s="44" t="s">
        <v>43</v>
      </c>
      <c r="N46" s="28" t="s">
        <v>44</v>
      </c>
      <c r="O46" s="28" t="s">
        <v>61</v>
      </c>
      <c r="P46" s="28" t="s">
        <v>52</v>
      </c>
      <c r="Q46" s="28" t="s">
        <v>62</v>
      </c>
    </row>
    <row r="47" spans="3:42" ht="15" thickBot="1" x14ac:dyDescent="0.4">
      <c r="D47" s="37">
        <v>0</v>
      </c>
      <c r="E47" s="38" cm="1">
        <f t="array" ref="E47">D47*rev_carrots</f>
        <v>0</v>
      </c>
      <c r="F47" s="39">
        <f t="shared" ref="F47:F68" si="20">D47*labor_wk_carrots*season_length*(1+dim_carrots)^D47</f>
        <v>0</v>
      </c>
      <c r="G47" s="40">
        <f t="shared" ref="G47:G68" si="21">MIN(labor_perm_max,(D47/q_beds*F47/labor_hrs_season))*perc_field_perm</f>
        <v>0</v>
      </c>
      <c r="H47" s="40">
        <f t="shared" ref="H47:H68" si="22">MIN(labor_hrs_season,MAX(0,(F47-G47*labor_hrs_season)/labor_hrs_season))*perc_field_temp</f>
        <v>0</v>
      </c>
      <c r="I47" s="38">
        <f t="shared" ref="I47:I68" si="23">(G47*wage_perm*labor_hrs_season) + (H47*wage_temp*labor_hrs_season)</f>
        <v>0</v>
      </c>
      <c r="J47" s="38" cm="1">
        <f t="array" ref="J47">D47*fert_carrotrs</f>
        <v>0</v>
      </c>
      <c r="K47" s="30">
        <f>SUM(I47:J47)</f>
        <v>0</v>
      </c>
      <c r="L47" s="38"/>
      <c r="M47" s="30">
        <f>K47+L47</f>
        <v>0</v>
      </c>
      <c r="N47" s="30">
        <f t="shared" ref="N47:N57" si="24">E47-M47</f>
        <v>0</v>
      </c>
      <c r="O47" s="41"/>
      <c r="P47" s="41" t="str">
        <f t="shared" ref="P47:P68" si="25">IF(AND(rev_carrots&gt;O47,rev_carrots&lt;O48),"&lt;-- P ~ MC","")</f>
        <v/>
      </c>
      <c r="Q47" s="41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</row>
    <row r="48" spans="3:42" ht="15" thickBot="1" x14ac:dyDescent="0.4">
      <c r="D48" s="47">
        <f>D47+1</f>
        <v>1</v>
      </c>
      <c r="E48" s="38" cm="1">
        <f t="array" ref="E48">D48*rev_carrots</f>
        <v>2094</v>
      </c>
      <c r="F48" s="39">
        <f t="shared" si="20"/>
        <v>30.749999999999996</v>
      </c>
      <c r="G48" s="40">
        <f t="shared" si="21"/>
        <v>3.5590277777777773E-3</v>
      </c>
      <c r="H48" s="40">
        <f t="shared" si="22"/>
        <v>1.7795138888888888E-2</v>
      </c>
      <c r="I48" s="38">
        <f t="shared" si="23"/>
        <v>622.82986111111109</v>
      </c>
      <c r="J48" s="38" cm="1">
        <f t="array" ref="J48">D48*fert_carrotrs</f>
        <v>440</v>
      </c>
      <c r="K48" s="30">
        <f t="shared" ref="K48:K57" si="26">SUM(I48:J48)</f>
        <v>1062.8298611111111</v>
      </c>
      <c r="L48" s="38"/>
      <c r="M48" s="30">
        <f t="shared" ref="M48:M57" si="27">K48+L48</f>
        <v>1062.8298611111111</v>
      </c>
      <c r="N48" s="30">
        <f t="shared" si="24"/>
        <v>1031.1701388888889</v>
      </c>
      <c r="O48" s="41"/>
      <c r="P48" s="41" t="str">
        <f t="shared" si="25"/>
        <v/>
      </c>
      <c r="Q48" s="41">
        <f>(D48+D47)/2</f>
        <v>0.5</v>
      </c>
    </row>
    <row r="49" spans="4:17" ht="15" thickBot="1" x14ac:dyDescent="0.4">
      <c r="D49" s="47">
        <f t="shared" ref="D49:D67" si="28">D48+1</f>
        <v>2</v>
      </c>
      <c r="E49" s="38" cm="1">
        <f t="array" ref="E49">D49*rev_carrots</f>
        <v>4188</v>
      </c>
      <c r="F49" s="39">
        <f t="shared" si="20"/>
        <v>63.037499999999994</v>
      </c>
      <c r="G49" s="40">
        <f t="shared" si="21"/>
        <v>1.4592013888888885E-2</v>
      </c>
      <c r="H49" s="40">
        <f t="shared" si="22"/>
        <v>2.9184027777777777E-2</v>
      </c>
      <c r="I49" s="38">
        <f t="shared" si="23"/>
        <v>1459.2013888888887</v>
      </c>
      <c r="J49" s="38" cm="1">
        <f t="array" ref="J49">D49*fert_carrotrs</f>
        <v>880</v>
      </c>
      <c r="K49" s="30">
        <f t="shared" si="26"/>
        <v>2339.2013888888887</v>
      </c>
      <c r="L49" s="38"/>
      <c r="M49" s="30">
        <f t="shared" si="27"/>
        <v>2339.2013888888887</v>
      </c>
      <c r="N49" s="30">
        <f t="shared" si="24"/>
        <v>1848.7986111111113</v>
      </c>
      <c r="O49" s="38">
        <f t="shared" ref="O49:O68" si="29">M49-M48</f>
        <v>1276.3715277777776</v>
      </c>
      <c r="P49" s="41" t="str">
        <f t="shared" si="25"/>
        <v/>
      </c>
      <c r="Q49" s="41">
        <f>(D49+D48)/2</f>
        <v>1.5</v>
      </c>
    </row>
    <row r="50" spans="4:17" ht="15" thickBot="1" x14ac:dyDescent="0.4">
      <c r="D50" s="47">
        <f t="shared" si="28"/>
        <v>3</v>
      </c>
      <c r="E50" s="38" cm="1">
        <f t="array" ref="E50">D50*rev_carrots</f>
        <v>6282</v>
      </c>
      <c r="F50" s="39">
        <f t="shared" si="20"/>
        <v>96.920156249999991</v>
      </c>
      <c r="G50" s="40">
        <f t="shared" si="21"/>
        <v>3.3652832031249996E-2</v>
      </c>
      <c r="H50" s="40">
        <f t="shared" si="22"/>
        <v>3.3652832031249996E-2</v>
      </c>
      <c r="I50" s="38">
        <f t="shared" si="23"/>
        <v>2523.9624023437495</v>
      </c>
      <c r="J50" s="38" cm="1">
        <f t="array" ref="J50">D50*fert_carrotrs</f>
        <v>1320</v>
      </c>
      <c r="K50" s="30">
        <f t="shared" si="26"/>
        <v>3843.9624023437495</v>
      </c>
      <c r="L50" s="38"/>
      <c r="M50" s="30">
        <f t="shared" si="27"/>
        <v>3843.9624023437495</v>
      </c>
      <c r="N50" s="30">
        <f t="shared" si="24"/>
        <v>2438.0375976562505</v>
      </c>
      <c r="O50" s="38">
        <f t="shared" si="29"/>
        <v>1504.7610134548609</v>
      </c>
      <c r="P50" s="41" t="str">
        <f t="shared" si="25"/>
        <v/>
      </c>
      <c r="Q50" s="41">
        <f>(D50+D49)/2</f>
        <v>2.5</v>
      </c>
    </row>
    <row r="51" spans="4:17" ht="15" thickBot="1" x14ac:dyDescent="0.4">
      <c r="D51" s="47">
        <f t="shared" si="28"/>
        <v>4</v>
      </c>
      <c r="E51" s="38" cm="1">
        <f t="array" ref="E51">D51*rev_carrots</f>
        <v>8376</v>
      </c>
      <c r="F51" s="39">
        <f t="shared" si="20"/>
        <v>132.45754687499996</v>
      </c>
      <c r="G51" s="40">
        <f t="shared" si="21"/>
        <v>6.1322938368055538E-2</v>
      </c>
      <c r="H51" s="40">
        <f t="shared" si="22"/>
        <v>3.0661469184027772E-2</v>
      </c>
      <c r="I51" s="38">
        <f t="shared" si="23"/>
        <v>3832.6836480034713</v>
      </c>
      <c r="J51" s="38" cm="1">
        <f t="array" ref="J51">D51*fert_carrotrs</f>
        <v>1760</v>
      </c>
      <c r="K51" s="30">
        <f t="shared" si="26"/>
        <v>5592.6836480034708</v>
      </c>
      <c r="L51" s="38"/>
      <c r="M51" s="30">
        <f t="shared" si="27"/>
        <v>5592.6836480034708</v>
      </c>
      <c r="N51" s="30">
        <f t="shared" si="24"/>
        <v>2783.3163519965292</v>
      </c>
      <c r="O51" s="38">
        <f t="shared" si="29"/>
        <v>1748.7212456597213</v>
      </c>
      <c r="P51" s="41" t="str">
        <f t="shared" si="25"/>
        <v/>
      </c>
      <c r="Q51" s="41">
        <f t="shared" ref="Q51:Q57" si="30">(D51+D50)/2</f>
        <v>3.5</v>
      </c>
    </row>
    <row r="52" spans="4:17" ht="15" thickBot="1" x14ac:dyDescent="0.4">
      <c r="D52" s="47">
        <f t="shared" si="28"/>
        <v>5</v>
      </c>
      <c r="E52" s="38" cm="1">
        <f t="array" ref="E52">D52*rev_carrots</f>
        <v>10470</v>
      </c>
      <c r="F52" s="39">
        <f t="shared" si="20"/>
        <v>169.71123193359369</v>
      </c>
      <c r="G52" s="40">
        <f t="shared" si="21"/>
        <v>9.8212518480088953E-2</v>
      </c>
      <c r="H52" s="40">
        <f t="shared" si="22"/>
        <v>1.9642503696017777E-2</v>
      </c>
      <c r="I52" s="38">
        <f t="shared" si="23"/>
        <v>5401.6885164048917</v>
      </c>
      <c r="J52" s="38" cm="1">
        <f t="array" ref="J52">D52*fert_carrotrs</f>
        <v>2200</v>
      </c>
      <c r="K52" s="30">
        <f t="shared" si="26"/>
        <v>7601.6885164048917</v>
      </c>
      <c r="L52" s="38"/>
      <c r="M52" s="30">
        <f t="shared" si="27"/>
        <v>7601.6885164048917</v>
      </c>
      <c r="N52" s="30">
        <f t="shared" si="24"/>
        <v>2868.3114835951083</v>
      </c>
      <c r="O52" s="38">
        <f t="shared" si="29"/>
        <v>2009.0048684014209</v>
      </c>
      <c r="P52" s="41" t="str">
        <f t="shared" si="25"/>
        <v>&lt;-- P ~ MC</v>
      </c>
      <c r="Q52" s="41">
        <f t="shared" si="30"/>
        <v>4.5</v>
      </c>
    </row>
    <row r="53" spans="4:17" ht="15" thickBot="1" x14ac:dyDescent="0.4">
      <c r="D53" s="47">
        <f t="shared" si="28"/>
        <v>6</v>
      </c>
      <c r="E53" s="38" cm="1">
        <f t="array" ref="E53">D53*rev_carrots</f>
        <v>12564</v>
      </c>
      <c r="F53" s="39">
        <f t="shared" si="20"/>
        <v>208.74481527832023</v>
      </c>
      <c r="G53" s="40">
        <f t="shared" si="21"/>
        <v>0.14496167727661127</v>
      </c>
      <c r="H53" s="40">
        <f t="shared" si="22"/>
        <v>0</v>
      </c>
      <c r="I53" s="38">
        <f t="shared" si="23"/>
        <v>7248.083863830564</v>
      </c>
      <c r="J53" s="38" cm="1">
        <f t="array" ref="J53">D53*fert_carrotrs</f>
        <v>2640</v>
      </c>
      <c r="K53" s="30">
        <f t="shared" si="26"/>
        <v>9888.083863830565</v>
      </c>
      <c r="L53" s="38"/>
      <c r="M53" s="30">
        <f t="shared" si="27"/>
        <v>9888.083863830565</v>
      </c>
      <c r="N53" s="30">
        <f t="shared" si="24"/>
        <v>2675.916136169435</v>
      </c>
      <c r="O53" s="38">
        <f t="shared" si="29"/>
        <v>2286.3953474256732</v>
      </c>
      <c r="P53" s="41" t="str">
        <f t="shared" si="25"/>
        <v/>
      </c>
      <c r="Q53" s="41">
        <f t="shared" si="30"/>
        <v>5.5</v>
      </c>
    </row>
    <row r="54" spans="4:17" ht="15" thickBot="1" x14ac:dyDescent="0.4">
      <c r="D54" s="47">
        <f t="shared" si="28"/>
        <v>7</v>
      </c>
      <c r="E54" s="38" cm="1">
        <f t="array" ref="E54">D54*rev_carrots</f>
        <v>14658</v>
      </c>
      <c r="F54" s="39">
        <f t="shared" si="20"/>
        <v>249.62400827032465</v>
      </c>
      <c r="G54" s="40">
        <f t="shared" si="21"/>
        <v>0.20224167336716117</v>
      </c>
      <c r="H54" s="40">
        <f t="shared" si="22"/>
        <v>0</v>
      </c>
      <c r="I54" s="38">
        <f t="shared" si="23"/>
        <v>10112.083668358058</v>
      </c>
      <c r="J54" s="38" cm="1">
        <f t="array" ref="J54">D54*fert_carrotrs</f>
        <v>3080</v>
      </c>
      <c r="K54" s="30">
        <f t="shared" si="26"/>
        <v>13192.083668358058</v>
      </c>
      <c r="L54" s="38"/>
      <c r="M54" s="30">
        <f t="shared" si="27"/>
        <v>13192.083668358058</v>
      </c>
      <c r="N54" s="30">
        <f t="shared" si="24"/>
        <v>1465.9163316419417</v>
      </c>
      <c r="O54" s="38">
        <f t="shared" si="29"/>
        <v>3303.9998045274933</v>
      </c>
      <c r="P54" s="41" t="str">
        <f t="shared" si="25"/>
        <v/>
      </c>
      <c r="Q54" s="41">
        <f t="shared" si="30"/>
        <v>6.5</v>
      </c>
    </row>
    <row r="55" spans="4:17" ht="15" thickBot="1" x14ac:dyDescent="0.4">
      <c r="D55" s="47">
        <f t="shared" si="28"/>
        <v>8</v>
      </c>
      <c r="E55" s="38" cm="1">
        <f t="array" ref="E55">D55*rev_carrots</f>
        <v>16752</v>
      </c>
      <c r="F55" s="39">
        <f t="shared" si="20"/>
        <v>292.41669540238024</v>
      </c>
      <c r="G55" s="40">
        <f t="shared" si="21"/>
        <v>0.27075619944664836</v>
      </c>
      <c r="H55" s="40">
        <f t="shared" si="22"/>
        <v>0</v>
      </c>
      <c r="I55" s="38">
        <f t="shared" si="23"/>
        <v>13537.809972332416</v>
      </c>
      <c r="J55" s="38" cm="1">
        <f t="array" ref="J55">D55*fert_carrotrs</f>
        <v>3520</v>
      </c>
      <c r="K55" s="30">
        <f t="shared" si="26"/>
        <v>17057.809972332416</v>
      </c>
      <c r="L55" s="38"/>
      <c r="M55" s="30">
        <f t="shared" si="27"/>
        <v>17057.809972332416</v>
      </c>
      <c r="N55" s="30">
        <f t="shared" si="24"/>
        <v>-305.80997233241578</v>
      </c>
      <c r="O55" s="38">
        <f t="shared" si="29"/>
        <v>3865.7263039743575</v>
      </c>
      <c r="P55" s="41" t="str">
        <f t="shared" si="25"/>
        <v/>
      </c>
      <c r="Q55" s="41">
        <f t="shared" si="30"/>
        <v>7.5</v>
      </c>
    </row>
    <row r="56" spans="4:17" ht="15" thickBot="1" x14ac:dyDescent="0.4">
      <c r="D56" s="47">
        <f t="shared" si="28"/>
        <v>9</v>
      </c>
      <c r="E56" s="38" cm="1">
        <f t="array" ref="E56">D56*rev_carrots</f>
        <v>18846</v>
      </c>
      <c r="F56" s="39">
        <f t="shared" si="20"/>
        <v>337.19300188586965</v>
      </c>
      <c r="G56" s="40">
        <f t="shared" si="21"/>
        <v>0.35124271029778087</v>
      </c>
      <c r="H56" s="40">
        <f t="shared" si="22"/>
        <v>0</v>
      </c>
      <c r="I56" s="38">
        <f t="shared" si="23"/>
        <v>17562.135514889043</v>
      </c>
      <c r="J56" s="38" cm="1">
        <f t="array" ref="J56">D56*fert_carrotrs</f>
        <v>3960</v>
      </c>
      <c r="K56" s="30">
        <f t="shared" si="26"/>
        <v>21522.135514889043</v>
      </c>
      <c r="L56" s="38"/>
      <c r="M56" s="30">
        <f t="shared" si="27"/>
        <v>21522.135514889043</v>
      </c>
      <c r="N56" s="30">
        <f t="shared" si="24"/>
        <v>-2676.1355148890434</v>
      </c>
      <c r="O56" s="38">
        <f t="shared" si="29"/>
        <v>4464.3255425566276</v>
      </c>
      <c r="P56" s="41" t="str">
        <f t="shared" si="25"/>
        <v/>
      </c>
      <c r="Q56" s="41">
        <f t="shared" si="30"/>
        <v>8.5</v>
      </c>
    </row>
    <row r="57" spans="4:17" ht="15" thickBot="1" x14ac:dyDescent="0.4">
      <c r="D57" s="47">
        <f t="shared" si="28"/>
        <v>10</v>
      </c>
      <c r="E57" s="38" cm="1">
        <f t="array" ref="E57">D57*rev_carrots</f>
        <v>20940</v>
      </c>
      <c r="F57" s="39">
        <f t="shared" si="20"/>
        <v>384.02536325890713</v>
      </c>
      <c r="G57" s="40">
        <f t="shared" si="21"/>
        <v>0.4444738000681796</v>
      </c>
      <c r="H57" s="40">
        <f t="shared" si="22"/>
        <v>0</v>
      </c>
      <c r="I57" s="38">
        <f t="shared" si="23"/>
        <v>22223.690003408978</v>
      </c>
      <c r="J57" s="38" cm="1">
        <f t="array" ref="J57">D57*fert_carrotrs</f>
        <v>4400</v>
      </c>
      <c r="K57" s="30">
        <f t="shared" si="26"/>
        <v>26623.690003408978</v>
      </c>
      <c r="L57" s="38"/>
      <c r="M57" s="30">
        <f t="shared" si="27"/>
        <v>26623.690003408978</v>
      </c>
      <c r="N57" s="30">
        <f t="shared" si="24"/>
        <v>-5683.6900034089776</v>
      </c>
      <c r="O57" s="38">
        <f t="shared" si="29"/>
        <v>5101.5544885199342</v>
      </c>
      <c r="P57" s="41" t="str">
        <f t="shared" si="25"/>
        <v/>
      </c>
      <c r="Q57" s="41">
        <f t="shared" si="30"/>
        <v>9.5</v>
      </c>
    </row>
    <row r="58" spans="4:17" ht="15" thickBot="1" x14ac:dyDescent="0.4">
      <c r="D58" s="47">
        <f t="shared" si="28"/>
        <v>11</v>
      </c>
      <c r="E58" s="38" cm="1">
        <f t="array" ref="E58">D58*rev_carrots</f>
        <v>23034</v>
      </c>
      <c r="F58" s="39">
        <f t="shared" si="20"/>
        <v>432.98859707441784</v>
      </c>
      <c r="G58" s="40">
        <f t="shared" si="21"/>
        <v>0.5</v>
      </c>
      <c r="H58" s="40">
        <f t="shared" si="22"/>
        <v>0</v>
      </c>
      <c r="I58" s="38">
        <f t="shared" si="23"/>
        <v>25000</v>
      </c>
      <c r="J58" s="38" cm="1">
        <f t="array" ref="J58">D58*fert_carrotrs</f>
        <v>4840</v>
      </c>
      <c r="K58" s="30">
        <f t="shared" ref="K58:K67" si="31">SUM(I58:J58)</f>
        <v>29840</v>
      </c>
      <c r="L58" s="38"/>
      <c r="M58" s="30">
        <f t="shared" ref="M58:M67" si="32">K58+L58</f>
        <v>29840</v>
      </c>
      <c r="N58" s="30">
        <f t="shared" ref="N58:N67" si="33">E58-M58</f>
        <v>-6806</v>
      </c>
      <c r="O58" s="38">
        <f t="shared" si="29"/>
        <v>3216.3099965910224</v>
      </c>
      <c r="P58" s="41" t="str">
        <f t="shared" si="25"/>
        <v/>
      </c>
      <c r="Q58" s="41">
        <f t="shared" ref="Q58:Q67" si="34">(D58+D57)/2</f>
        <v>10.5</v>
      </c>
    </row>
    <row r="59" spans="4:17" ht="15" thickBot="1" x14ac:dyDescent="0.4">
      <c r="D59" s="47">
        <f t="shared" si="28"/>
        <v>12</v>
      </c>
      <c r="E59" s="38" cm="1">
        <f t="array" ref="E59">D59*rev_carrots</f>
        <v>25128</v>
      </c>
      <c r="F59" s="39">
        <f t="shared" si="20"/>
        <v>484.15997672866712</v>
      </c>
      <c r="G59" s="40">
        <f t="shared" si="21"/>
        <v>0.5</v>
      </c>
      <c r="H59" s="40">
        <f t="shared" si="22"/>
        <v>0</v>
      </c>
      <c r="I59" s="38">
        <f t="shared" si="23"/>
        <v>25000</v>
      </c>
      <c r="J59" s="38" cm="1">
        <f t="array" ref="J59">D59*fert_carrotrs</f>
        <v>5280</v>
      </c>
      <c r="K59" s="30">
        <f t="shared" si="31"/>
        <v>30280</v>
      </c>
      <c r="L59" s="38"/>
      <c r="M59" s="30">
        <f t="shared" si="32"/>
        <v>30280</v>
      </c>
      <c r="N59" s="30">
        <f t="shared" si="33"/>
        <v>-5152</v>
      </c>
      <c r="O59" s="38">
        <f t="shared" si="29"/>
        <v>440</v>
      </c>
      <c r="P59" s="41" t="str">
        <f t="shared" si="25"/>
        <v/>
      </c>
      <c r="Q59" s="41">
        <f t="shared" si="34"/>
        <v>11.5</v>
      </c>
    </row>
    <row r="60" spans="4:17" ht="15" thickBot="1" x14ac:dyDescent="0.4">
      <c r="D60" s="47">
        <f t="shared" si="28"/>
        <v>13</v>
      </c>
      <c r="E60" s="38" cm="1">
        <f t="array" ref="E60">D60*rev_carrots</f>
        <v>27222</v>
      </c>
      <c r="F60" s="39">
        <f t="shared" si="20"/>
        <v>537.61930749245744</v>
      </c>
      <c r="G60" s="40">
        <f t="shared" si="21"/>
        <v>0.5</v>
      </c>
      <c r="H60" s="40">
        <f t="shared" si="22"/>
        <v>0</v>
      </c>
      <c r="I60" s="38">
        <f t="shared" si="23"/>
        <v>25000</v>
      </c>
      <c r="J60" s="38" cm="1">
        <f t="array" ref="J60">D60*fert_carrotrs</f>
        <v>5720</v>
      </c>
      <c r="K60" s="30">
        <f t="shared" si="31"/>
        <v>30720</v>
      </c>
      <c r="L60" s="38"/>
      <c r="M60" s="30">
        <f t="shared" si="32"/>
        <v>30720</v>
      </c>
      <c r="N60" s="30">
        <f t="shared" si="33"/>
        <v>-3498</v>
      </c>
      <c r="O60" s="38">
        <f t="shared" si="29"/>
        <v>440</v>
      </c>
      <c r="P60" s="41" t="str">
        <f t="shared" si="25"/>
        <v/>
      </c>
      <c r="Q60" s="41">
        <f t="shared" si="34"/>
        <v>12.5</v>
      </c>
    </row>
    <row r="61" spans="4:17" ht="15" thickBot="1" x14ac:dyDescent="0.4">
      <c r="D61" s="47">
        <f t="shared" si="28"/>
        <v>14</v>
      </c>
      <c r="E61" s="38" cm="1">
        <f t="array" ref="E61">D61*rev_carrots</f>
        <v>29316</v>
      </c>
      <c r="F61" s="39">
        <f t="shared" si="20"/>
        <v>593.44900480898184</v>
      </c>
      <c r="G61" s="40">
        <f t="shared" si="21"/>
        <v>0.5</v>
      </c>
      <c r="H61" s="40">
        <f t="shared" si="22"/>
        <v>0</v>
      </c>
      <c r="I61" s="38">
        <f t="shared" si="23"/>
        <v>25000</v>
      </c>
      <c r="J61" s="38" cm="1">
        <f t="array" ref="J61">D61*fert_carrotrs</f>
        <v>6160</v>
      </c>
      <c r="K61" s="30">
        <f t="shared" si="31"/>
        <v>31160</v>
      </c>
      <c r="L61" s="38"/>
      <c r="M61" s="30">
        <f t="shared" si="32"/>
        <v>31160</v>
      </c>
      <c r="N61" s="30">
        <f t="shared" si="33"/>
        <v>-1844</v>
      </c>
      <c r="O61" s="38">
        <f t="shared" si="29"/>
        <v>440</v>
      </c>
      <c r="P61" s="41" t="str">
        <f t="shared" si="25"/>
        <v/>
      </c>
      <c r="Q61" s="41">
        <f t="shared" si="34"/>
        <v>13.5</v>
      </c>
    </row>
    <row r="62" spans="4:17" ht="15" thickBot="1" x14ac:dyDescent="0.4">
      <c r="D62" s="47">
        <f t="shared" si="28"/>
        <v>15</v>
      </c>
      <c r="E62" s="38" cm="1">
        <f t="array" ref="E62">D62*rev_carrots</f>
        <v>31410</v>
      </c>
      <c r="F62" s="39">
        <f t="shared" si="20"/>
        <v>651.73417492414967</v>
      </c>
      <c r="G62" s="40">
        <f t="shared" si="21"/>
        <v>0.5</v>
      </c>
      <c r="H62" s="40">
        <f t="shared" si="22"/>
        <v>0</v>
      </c>
      <c r="I62" s="38">
        <f t="shared" si="23"/>
        <v>25000</v>
      </c>
      <c r="J62" s="38" cm="1">
        <f t="array" ref="J62">D62*fert_carrotrs</f>
        <v>6600</v>
      </c>
      <c r="K62" s="30">
        <f t="shared" si="31"/>
        <v>31600</v>
      </c>
      <c r="L62" s="38"/>
      <c r="M62" s="30">
        <f t="shared" si="32"/>
        <v>31600</v>
      </c>
      <c r="N62" s="30">
        <f t="shared" si="33"/>
        <v>-190</v>
      </c>
      <c r="O62" s="38">
        <f t="shared" si="29"/>
        <v>440</v>
      </c>
      <c r="P62" s="41" t="str">
        <f t="shared" si="25"/>
        <v/>
      </c>
      <c r="Q62" s="41">
        <f t="shared" si="34"/>
        <v>14.5</v>
      </c>
    </row>
    <row r="63" spans="4:17" ht="15" thickBot="1" x14ac:dyDescent="0.4">
      <c r="D63" s="47">
        <f t="shared" si="28"/>
        <v>16</v>
      </c>
      <c r="E63" s="38" cm="1">
        <f t="array" ref="E63">D63*rev_carrots</f>
        <v>33504</v>
      </c>
      <c r="F63" s="39">
        <f t="shared" si="20"/>
        <v>712.5626979170703</v>
      </c>
      <c r="G63" s="40">
        <f t="shared" si="21"/>
        <v>0.5</v>
      </c>
      <c r="H63" s="40">
        <f t="shared" si="22"/>
        <v>0</v>
      </c>
      <c r="I63" s="38">
        <f t="shared" si="23"/>
        <v>25000</v>
      </c>
      <c r="J63" s="38" cm="1">
        <f t="array" ref="J63">D63*fert_carrotrs</f>
        <v>7040</v>
      </c>
      <c r="K63" s="30">
        <f t="shared" si="31"/>
        <v>32040</v>
      </c>
      <c r="L63" s="38"/>
      <c r="M63" s="30">
        <f t="shared" si="32"/>
        <v>32040</v>
      </c>
      <c r="N63" s="30">
        <f t="shared" si="33"/>
        <v>1464</v>
      </c>
      <c r="O63" s="38">
        <f t="shared" si="29"/>
        <v>440</v>
      </c>
      <c r="P63" s="41" t="str">
        <f t="shared" si="25"/>
        <v/>
      </c>
      <c r="Q63" s="41">
        <f t="shared" si="34"/>
        <v>15.5</v>
      </c>
    </row>
    <row r="64" spans="4:17" ht="15" thickBot="1" x14ac:dyDescent="0.4">
      <c r="D64" s="47">
        <f t="shared" si="28"/>
        <v>17</v>
      </c>
      <c r="E64" s="38" cm="1">
        <f t="array" ref="E64">D64*rev_carrots</f>
        <v>35598</v>
      </c>
      <c r="F64" s="39">
        <f t="shared" si="20"/>
        <v>776.02531320030937</v>
      </c>
      <c r="G64" s="40">
        <f t="shared" si="21"/>
        <v>0.5</v>
      </c>
      <c r="H64" s="40">
        <f t="shared" si="22"/>
        <v>3.8906467500214842E-2</v>
      </c>
      <c r="I64" s="38">
        <f t="shared" si="23"/>
        <v>25972.66168750537</v>
      </c>
      <c r="J64" s="38" cm="1">
        <f t="array" ref="J64">D64*fert_carrotrs</f>
        <v>7480</v>
      </c>
      <c r="K64" s="30">
        <f t="shared" si="31"/>
        <v>33452.661687505373</v>
      </c>
      <c r="L64" s="38"/>
      <c r="M64" s="30">
        <f t="shared" si="32"/>
        <v>33452.661687505373</v>
      </c>
      <c r="N64" s="30">
        <f t="shared" si="33"/>
        <v>2145.3383124946267</v>
      </c>
      <c r="O64" s="38">
        <f t="shared" si="29"/>
        <v>1412.6616875053733</v>
      </c>
      <c r="P64" s="41" t="str">
        <f t="shared" si="25"/>
        <v/>
      </c>
      <c r="Q64" s="41">
        <f t="shared" si="34"/>
        <v>16.5</v>
      </c>
    </row>
    <row r="65" spans="3:42" ht="15" thickBot="1" x14ac:dyDescent="0.4">
      <c r="D65" s="47">
        <f t="shared" si="28"/>
        <v>18</v>
      </c>
      <c r="E65" s="38" cm="1">
        <f t="array" ref="E65">D65*rev_carrots</f>
        <v>37692</v>
      </c>
      <c r="F65" s="39">
        <f t="shared" si="20"/>
        <v>842.2157075615122</v>
      </c>
      <c r="G65" s="40">
        <f t="shared" si="21"/>
        <v>0.5</v>
      </c>
      <c r="H65" s="40">
        <f t="shared" si="22"/>
        <v>8.4872019139939026E-2</v>
      </c>
      <c r="I65" s="38">
        <f t="shared" si="23"/>
        <v>27121.800478498477</v>
      </c>
      <c r="J65" s="38" cm="1">
        <f t="array" ref="J65">D65*fert_carrotrs</f>
        <v>7920</v>
      </c>
      <c r="K65" s="30">
        <f t="shared" si="31"/>
        <v>35041.800478498481</v>
      </c>
      <c r="L65" s="38"/>
      <c r="M65" s="30">
        <f t="shared" si="32"/>
        <v>35041.800478498481</v>
      </c>
      <c r="N65" s="30">
        <f t="shared" si="33"/>
        <v>2650.1995215015195</v>
      </c>
      <c r="O65" s="38">
        <f t="shared" si="29"/>
        <v>1589.1387909931072</v>
      </c>
      <c r="P65" s="41" t="str">
        <f t="shared" si="25"/>
        <v/>
      </c>
      <c r="Q65" s="41">
        <f t="shared" si="34"/>
        <v>17.5</v>
      </c>
    </row>
    <row r="66" spans="3:42" ht="15" thickBot="1" x14ac:dyDescent="0.4">
      <c r="D66" s="47">
        <f t="shared" si="28"/>
        <v>19</v>
      </c>
      <c r="E66" s="38" cm="1">
        <f t="array" ref="E66">D66*rev_carrots</f>
        <v>39786</v>
      </c>
      <c r="F66" s="39">
        <f t="shared" si="20"/>
        <v>911.23060582002495</v>
      </c>
      <c r="G66" s="40">
        <f t="shared" si="21"/>
        <v>0.5</v>
      </c>
      <c r="H66" s="40">
        <f t="shared" si="22"/>
        <v>0.13279903181946176</v>
      </c>
      <c r="I66" s="38">
        <f t="shared" si="23"/>
        <v>28319.975795486542</v>
      </c>
      <c r="J66" s="38" cm="1">
        <f t="array" ref="J66">D66*fert_carrotrs</f>
        <v>8360</v>
      </c>
      <c r="K66" s="30">
        <f t="shared" si="31"/>
        <v>36679.975795486542</v>
      </c>
      <c r="L66" s="38"/>
      <c r="M66" s="30">
        <f t="shared" si="32"/>
        <v>36679.975795486542</v>
      </c>
      <c r="N66" s="30">
        <f t="shared" si="33"/>
        <v>3106.0242045134582</v>
      </c>
      <c r="O66" s="38">
        <f t="shared" si="29"/>
        <v>1638.1753169880612</v>
      </c>
      <c r="P66" s="41" t="str">
        <f t="shared" si="25"/>
        <v/>
      </c>
      <c r="Q66" s="41">
        <f t="shared" si="34"/>
        <v>18.5</v>
      </c>
    </row>
    <row r="67" spans="3:42" ht="15" thickBot="1" x14ac:dyDescent="0.4">
      <c r="D67" s="47">
        <f t="shared" si="28"/>
        <v>20</v>
      </c>
      <c r="E67" s="38" cm="1">
        <f t="array" ref="E67">D67*rev_carrots</f>
        <v>41880</v>
      </c>
      <c r="F67" s="39">
        <f t="shared" si="20"/>
        <v>983.16986417423732</v>
      </c>
      <c r="G67" s="40">
        <f t="shared" si="21"/>
        <v>0.5</v>
      </c>
      <c r="H67" s="40">
        <f t="shared" si="22"/>
        <v>0.18275685012099813</v>
      </c>
      <c r="I67" s="38">
        <f t="shared" si="23"/>
        <v>29568.921253024953</v>
      </c>
      <c r="J67" s="38" cm="1">
        <f t="array" ref="J67">D67*fert_carrotrs</f>
        <v>8800</v>
      </c>
      <c r="K67" s="30">
        <f t="shared" si="31"/>
        <v>38368.92125302495</v>
      </c>
      <c r="L67" s="38"/>
      <c r="M67" s="30">
        <f t="shared" si="32"/>
        <v>38368.92125302495</v>
      </c>
      <c r="N67" s="30">
        <f t="shared" si="33"/>
        <v>3511.0787469750503</v>
      </c>
      <c r="O67" s="38">
        <f t="shared" si="29"/>
        <v>1688.9454575384079</v>
      </c>
      <c r="P67" s="41" t="str">
        <f t="shared" si="25"/>
        <v/>
      </c>
      <c r="Q67" s="41">
        <f t="shared" si="34"/>
        <v>19.5</v>
      </c>
    </row>
    <row r="68" spans="3:42" ht="15" thickBot="1" x14ac:dyDescent="0.4">
      <c r="D68" s="47">
        <f t="shared" ref="D68" si="35">D67+1</f>
        <v>21</v>
      </c>
      <c r="E68" s="38" cm="1">
        <f t="array" ref="E68">D68*rev_carrots</f>
        <v>43974</v>
      </c>
      <c r="F68" s="39">
        <f t="shared" si="20"/>
        <v>1058.1365663175229</v>
      </c>
      <c r="G68" s="40">
        <f t="shared" si="21"/>
        <v>0.5</v>
      </c>
      <c r="H68" s="40">
        <f t="shared" si="22"/>
        <v>0.23481705994272425</v>
      </c>
      <c r="I68" s="38">
        <f t="shared" si="23"/>
        <v>30870.426498568107</v>
      </c>
      <c r="J68" s="38" cm="1">
        <f t="array" ref="J68">D68*fert_carrotrs</f>
        <v>9240</v>
      </c>
      <c r="K68" s="30">
        <f t="shared" ref="K68" si="36">SUM(I68:J68)</f>
        <v>40110.426498568107</v>
      </c>
      <c r="L68" s="38"/>
      <c r="M68" s="30">
        <f t="shared" ref="M68" si="37">K68+L68</f>
        <v>40110.426498568107</v>
      </c>
      <c r="N68" s="30">
        <f t="shared" ref="N68" si="38">E68-M68</f>
        <v>3863.5735014318925</v>
      </c>
      <c r="O68" s="38">
        <f t="shared" si="29"/>
        <v>1741.5052455431578</v>
      </c>
      <c r="P68" s="41" t="str">
        <f t="shared" si="25"/>
        <v/>
      </c>
      <c r="Q68" s="41">
        <f t="shared" ref="Q68" si="39">(D68+D67)/2</f>
        <v>20.5</v>
      </c>
    </row>
    <row r="69" spans="3:42" ht="15" thickBot="1" x14ac:dyDescent="0.4">
      <c r="F69" s="42"/>
      <c r="K69" s="17"/>
      <c r="M69" s="43"/>
    </row>
    <row r="70" spans="3:42" ht="15" thickBot="1" x14ac:dyDescent="0.4">
      <c r="C70" s="28" t="s">
        <v>24</v>
      </c>
      <c r="D70" s="28" t="s">
        <v>45</v>
      </c>
      <c r="E70" s="28" t="s">
        <v>46</v>
      </c>
      <c r="F70" s="28" t="s">
        <v>10</v>
      </c>
      <c r="G70" s="28" t="s">
        <v>37</v>
      </c>
      <c r="H70" s="28" t="s">
        <v>38</v>
      </c>
      <c r="I70" s="28" t="s">
        <v>39</v>
      </c>
      <c r="J70" s="28" t="s">
        <v>40</v>
      </c>
      <c r="K70" s="28" t="s">
        <v>41</v>
      </c>
      <c r="L70" s="28" t="s">
        <v>42</v>
      </c>
      <c r="M70" s="44" t="s">
        <v>43</v>
      </c>
      <c r="N70" s="28" t="s">
        <v>44</v>
      </c>
      <c r="O70" s="28" t="s">
        <v>61</v>
      </c>
      <c r="P70" s="28" t="s">
        <v>52</v>
      </c>
      <c r="Q70" s="28" t="s">
        <v>62</v>
      </c>
    </row>
    <row r="71" spans="3:42" ht="15" thickBot="1" x14ac:dyDescent="0.4">
      <c r="D71" s="37">
        <v>0</v>
      </c>
      <c r="E71" s="38" cm="1">
        <f t="array" ref="E71">D71*rev_mesculun</f>
        <v>0</v>
      </c>
      <c r="F71" s="39">
        <f t="shared" ref="F71:F101" si="40">D71*labor_wk_mesculun*season_length*(1+dim_mesculun)^D71</f>
        <v>0</v>
      </c>
      <c r="G71" s="40">
        <f t="shared" ref="G71:G101" si="41">MIN(labor_perm_max,(D71/q_beds*F71/labor_hrs_season))*perc_field_perm</f>
        <v>0</v>
      </c>
      <c r="H71" s="40">
        <f t="shared" ref="H71:H101" si="42">MIN(labor_hrs_season,MAX(0,(F71-G71*labor_hrs_season)/labor_hrs_season))*perc_field_temp</f>
        <v>0</v>
      </c>
      <c r="I71" s="38">
        <f t="shared" ref="I71:I101" si="43">(G71*wage_perm*labor_hrs_season) + (H71*wage_temp*labor_hrs_season)</f>
        <v>0</v>
      </c>
      <c r="J71" s="38" cm="1">
        <f t="array" ref="J71">D71*fert_mesculun</f>
        <v>0</v>
      </c>
      <c r="K71" s="30">
        <f>SUM(I71:J71)</f>
        <v>0</v>
      </c>
      <c r="L71" s="38"/>
      <c r="M71" s="30">
        <f>K71+L71</f>
        <v>0</v>
      </c>
      <c r="N71" s="30">
        <f t="shared" ref="N71:N81" si="44">E71-M71</f>
        <v>0</v>
      </c>
      <c r="O71" s="41"/>
      <c r="P71" s="41" t="str">
        <f t="shared" ref="P71:P101" si="45">IF(AND(rev_mesculun&gt;O71,rev_mesculun&lt;O72),"&lt;-- P ~ MC","")</f>
        <v/>
      </c>
      <c r="Q71" s="41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</row>
    <row r="72" spans="3:42" ht="15" thickBot="1" x14ac:dyDescent="0.4">
      <c r="D72" s="47">
        <f>D71+1</f>
        <v>1</v>
      </c>
      <c r="E72" s="38" cm="1">
        <f t="array" ref="E72">D72*rev_mesculun</f>
        <v>2700</v>
      </c>
      <c r="F72" s="39">
        <f t="shared" si="40"/>
        <v>45.5625</v>
      </c>
      <c r="G72" s="40">
        <f t="shared" si="41"/>
        <v>5.2734375000000003E-3</v>
      </c>
      <c r="H72" s="40">
        <f t="shared" si="42"/>
        <v>2.63671875E-2</v>
      </c>
      <c r="I72" s="38">
        <f t="shared" si="43"/>
        <v>922.8515625</v>
      </c>
      <c r="J72" s="38" cm="1">
        <f t="array" ref="J72">D72*fert_mesculun</f>
        <v>880</v>
      </c>
      <c r="K72" s="30">
        <f t="shared" ref="K72:K81" si="46">SUM(I72:J72)</f>
        <v>1802.8515625</v>
      </c>
      <c r="L72" s="38"/>
      <c r="M72" s="30">
        <f t="shared" ref="M72:M81" si="47">K72+L72</f>
        <v>1802.8515625</v>
      </c>
      <c r="N72" s="30">
        <f t="shared" si="44"/>
        <v>897.1484375</v>
      </c>
      <c r="O72" s="41"/>
      <c r="P72" s="41" t="str">
        <f t="shared" si="45"/>
        <v/>
      </c>
      <c r="Q72" s="41">
        <f>(D72+D71)/2</f>
        <v>0.5</v>
      </c>
    </row>
    <row r="73" spans="3:42" ht="15" thickBot="1" x14ac:dyDescent="0.4">
      <c r="D73" s="47">
        <f t="shared" ref="D73:D101" si="48">D72+1</f>
        <v>2</v>
      </c>
      <c r="E73" s="38" cm="1">
        <f t="array" ref="E73">D73*rev_mesculun</f>
        <v>5400</v>
      </c>
      <c r="F73" s="39">
        <f t="shared" si="40"/>
        <v>92.264062499999994</v>
      </c>
      <c r="G73" s="40">
        <f t="shared" si="41"/>
        <v>2.1357421874999998E-2</v>
      </c>
      <c r="H73" s="40">
        <f t="shared" si="42"/>
        <v>4.2714843750000002E-2</v>
      </c>
      <c r="I73" s="38">
        <f t="shared" si="43"/>
        <v>2135.7421875</v>
      </c>
      <c r="J73" s="38" cm="1">
        <f t="array" ref="J73">D73*fert_mesculun</f>
        <v>1760</v>
      </c>
      <c r="K73" s="30">
        <f t="shared" si="46"/>
        <v>3895.7421875</v>
      </c>
      <c r="L73" s="38"/>
      <c r="M73" s="30">
        <f t="shared" si="47"/>
        <v>3895.7421875</v>
      </c>
      <c r="N73" s="30">
        <f t="shared" si="44"/>
        <v>1504.2578125</v>
      </c>
      <c r="O73" s="38">
        <f>M73-M72</f>
        <v>2092.890625</v>
      </c>
      <c r="P73" s="41" t="str">
        <f t="shared" si="45"/>
        <v/>
      </c>
      <c r="Q73" s="41">
        <f>(D73+D72)/2</f>
        <v>1.5</v>
      </c>
    </row>
    <row r="74" spans="3:42" ht="15" thickBot="1" x14ac:dyDescent="0.4">
      <c r="D74" s="47">
        <f t="shared" si="48"/>
        <v>3</v>
      </c>
      <c r="E74" s="38" cm="1">
        <f t="array" ref="E74">D74*rev_mesculun</f>
        <v>8100</v>
      </c>
      <c r="F74" s="39">
        <f t="shared" si="40"/>
        <v>140.12604492187498</v>
      </c>
      <c r="G74" s="40">
        <f t="shared" si="41"/>
        <v>4.8654876708984371E-2</v>
      </c>
      <c r="H74" s="40">
        <f t="shared" si="42"/>
        <v>4.8654876708984371E-2</v>
      </c>
      <c r="I74" s="38">
        <f t="shared" si="43"/>
        <v>3649.1157531738272</v>
      </c>
      <c r="J74" s="38" cm="1">
        <f t="array" ref="J74">D74*fert_mesculun</f>
        <v>2640</v>
      </c>
      <c r="K74" s="30">
        <f t="shared" si="46"/>
        <v>6289.1157531738272</v>
      </c>
      <c r="L74" s="38"/>
      <c r="M74" s="30">
        <f t="shared" si="47"/>
        <v>6289.1157531738272</v>
      </c>
      <c r="N74" s="30">
        <f t="shared" si="44"/>
        <v>1810.8842468261728</v>
      </c>
      <c r="O74" s="38">
        <f t="shared" ref="O74:O101" si="49">M74-M73</f>
        <v>2393.3735656738272</v>
      </c>
      <c r="P74" s="41" t="str">
        <f t="shared" si="45"/>
        <v>&lt;-- P ~ MC</v>
      </c>
      <c r="Q74" s="41">
        <f>(D74+D73)/2</f>
        <v>2.5</v>
      </c>
    </row>
    <row r="75" spans="3:42" ht="15" thickBot="1" x14ac:dyDescent="0.4">
      <c r="D75" s="47">
        <f t="shared" si="48"/>
        <v>4</v>
      </c>
      <c r="E75" s="38" cm="1">
        <f t="array" ref="E75">D75*rev_mesculun</f>
        <v>10800</v>
      </c>
      <c r="F75" s="39">
        <f t="shared" si="40"/>
        <v>189.17016064453125</v>
      </c>
      <c r="G75" s="40">
        <f t="shared" si="41"/>
        <v>8.757877807617187E-2</v>
      </c>
      <c r="H75" s="40">
        <f t="shared" si="42"/>
        <v>4.3789389038085935E-2</v>
      </c>
      <c r="I75" s="38">
        <f t="shared" si="43"/>
        <v>5473.6736297607413</v>
      </c>
      <c r="J75" s="38" cm="1">
        <f t="array" ref="J75">D75*fert_mesculun</f>
        <v>3520</v>
      </c>
      <c r="K75" s="30">
        <f t="shared" si="46"/>
        <v>8993.6736297607422</v>
      </c>
      <c r="L75" s="38"/>
      <c r="M75" s="30">
        <f t="shared" si="47"/>
        <v>8993.6736297607422</v>
      </c>
      <c r="N75" s="30">
        <f t="shared" si="44"/>
        <v>1806.3263702392578</v>
      </c>
      <c r="O75" s="38">
        <f t="shared" si="49"/>
        <v>2704.557876586915</v>
      </c>
      <c r="P75" s="41" t="str">
        <f t="shared" si="45"/>
        <v/>
      </c>
      <c r="Q75" s="41">
        <f t="shared" ref="Q75:Q81" si="50">(D75+D74)/2</f>
        <v>3.5</v>
      </c>
    </row>
    <row r="76" spans="3:42" ht="15" thickBot="1" x14ac:dyDescent="0.4">
      <c r="D76" s="47">
        <f t="shared" si="48"/>
        <v>5</v>
      </c>
      <c r="E76" s="38" cm="1">
        <f t="array" ref="E76">D76*rev_mesculun</f>
        <v>13500</v>
      </c>
      <c r="F76" s="39">
        <f t="shared" si="40"/>
        <v>239.41848456573481</v>
      </c>
      <c r="G76" s="40">
        <f t="shared" si="41"/>
        <v>0.13855236375331878</v>
      </c>
      <c r="H76" s="40">
        <f t="shared" si="42"/>
        <v>2.7710472750663722E-2</v>
      </c>
      <c r="I76" s="38">
        <f t="shared" si="43"/>
        <v>7620.3800064325324</v>
      </c>
      <c r="J76" s="38" cm="1">
        <f t="array" ref="J76">D76*fert_mesculun</f>
        <v>4400</v>
      </c>
      <c r="K76" s="30">
        <f t="shared" si="46"/>
        <v>12020.380006432533</v>
      </c>
      <c r="L76" s="38"/>
      <c r="M76" s="30">
        <f t="shared" si="47"/>
        <v>12020.380006432533</v>
      </c>
      <c r="N76" s="30">
        <f t="shared" si="44"/>
        <v>1479.6199935674667</v>
      </c>
      <c r="O76" s="38">
        <f t="shared" si="49"/>
        <v>3026.7063766717911</v>
      </c>
      <c r="P76" s="41" t="str">
        <f t="shared" si="45"/>
        <v/>
      </c>
      <c r="Q76" s="41">
        <f t="shared" si="50"/>
        <v>4.5</v>
      </c>
    </row>
    <row r="77" spans="3:42" ht="15" thickBot="1" x14ac:dyDescent="0.4">
      <c r="D77" s="47">
        <f t="shared" si="48"/>
        <v>6</v>
      </c>
      <c r="E77" s="38" cm="1">
        <f t="array" ref="E77">D77*rev_mesculun</f>
        <v>16200</v>
      </c>
      <c r="F77" s="39">
        <f t="shared" si="40"/>
        <v>290.89345874736784</v>
      </c>
      <c r="G77" s="40">
        <f t="shared" si="41"/>
        <v>0.20200934635233878</v>
      </c>
      <c r="H77" s="40">
        <f t="shared" si="42"/>
        <v>0</v>
      </c>
      <c r="I77" s="38">
        <f t="shared" si="43"/>
        <v>10100.467317616938</v>
      </c>
      <c r="J77" s="38" cm="1">
        <f t="array" ref="J77">D77*fert_mesculun</f>
        <v>5280</v>
      </c>
      <c r="K77" s="30">
        <f t="shared" si="46"/>
        <v>15380.467317616938</v>
      </c>
      <c r="L77" s="38"/>
      <c r="M77" s="30">
        <f t="shared" si="47"/>
        <v>15380.467317616938</v>
      </c>
      <c r="N77" s="30">
        <f t="shared" si="44"/>
        <v>819.53268238306191</v>
      </c>
      <c r="O77" s="38">
        <f t="shared" si="49"/>
        <v>3360.0873111844048</v>
      </c>
      <c r="P77" s="41" t="str">
        <f t="shared" si="45"/>
        <v/>
      </c>
      <c r="Q77" s="41">
        <f t="shared" si="50"/>
        <v>5.5</v>
      </c>
    </row>
    <row r="78" spans="3:42" ht="15" thickBot="1" x14ac:dyDescent="0.4">
      <c r="D78" s="47">
        <f t="shared" si="48"/>
        <v>7</v>
      </c>
      <c r="E78" s="38" cm="1">
        <f t="array" ref="E78">D78*rev_mesculun</f>
        <v>18900</v>
      </c>
      <c r="F78" s="39">
        <f t="shared" si="40"/>
        <v>343.61789814532818</v>
      </c>
      <c r="G78" s="40">
        <f t="shared" si="41"/>
        <v>0.27839413044181682</v>
      </c>
      <c r="H78" s="40">
        <f t="shared" si="42"/>
        <v>0</v>
      </c>
      <c r="I78" s="38">
        <f t="shared" si="43"/>
        <v>13919.706522090841</v>
      </c>
      <c r="J78" s="38" cm="1">
        <f t="array" ref="J78">D78*fert_mesculun</f>
        <v>6160</v>
      </c>
      <c r="K78" s="30">
        <f t="shared" si="46"/>
        <v>20079.706522090841</v>
      </c>
      <c r="L78" s="38"/>
      <c r="M78" s="30">
        <f t="shared" si="47"/>
        <v>20079.706522090841</v>
      </c>
      <c r="N78" s="30">
        <f t="shared" si="44"/>
        <v>-1179.7065220908407</v>
      </c>
      <c r="O78" s="38">
        <f t="shared" si="49"/>
        <v>4699.2392044739026</v>
      </c>
      <c r="P78" s="41" t="str">
        <f t="shared" si="45"/>
        <v/>
      </c>
      <c r="Q78" s="41">
        <f t="shared" si="50"/>
        <v>6.5</v>
      </c>
    </row>
    <row r="79" spans="3:42" ht="15" thickBot="1" x14ac:dyDescent="0.4">
      <c r="D79" s="47">
        <f t="shared" si="48"/>
        <v>8</v>
      </c>
      <c r="E79" s="38" cm="1">
        <f t="array" ref="E79">D79*rev_mesculun</f>
        <v>21600</v>
      </c>
      <c r="F79" s="39">
        <f t="shared" si="40"/>
        <v>397.61499642530839</v>
      </c>
      <c r="G79" s="40">
        <f t="shared" si="41"/>
        <v>0.36816203372713735</v>
      </c>
      <c r="H79" s="40">
        <f t="shared" si="42"/>
        <v>0</v>
      </c>
      <c r="I79" s="38">
        <f t="shared" si="43"/>
        <v>18408.101686356869</v>
      </c>
      <c r="J79" s="38" cm="1">
        <f t="array" ref="J79">D79*fert_mesculun</f>
        <v>7040</v>
      </c>
      <c r="K79" s="30">
        <f t="shared" si="46"/>
        <v>25448.101686356869</v>
      </c>
      <c r="L79" s="38"/>
      <c r="M79" s="30">
        <f t="shared" si="47"/>
        <v>25448.101686356869</v>
      </c>
      <c r="N79" s="30">
        <f t="shared" si="44"/>
        <v>-3848.1016863568693</v>
      </c>
      <c r="O79" s="38">
        <f t="shared" si="49"/>
        <v>5368.3951642660286</v>
      </c>
      <c r="P79" s="41" t="str">
        <f t="shared" si="45"/>
        <v/>
      </c>
      <c r="Q79" s="41">
        <f t="shared" si="50"/>
        <v>7.5</v>
      </c>
    </row>
    <row r="80" spans="3:42" ht="15" thickBot="1" x14ac:dyDescent="0.4">
      <c r="D80" s="47">
        <f t="shared" si="48"/>
        <v>9</v>
      </c>
      <c r="E80" s="38" cm="1">
        <f t="array" ref="E80">D80*rev_mesculun</f>
        <v>24300</v>
      </c>
      <c r="F80" s="39">
        <f t="shared" si="40"/>
        <v>452.90833186570285</v>
      </c>
      <c r="G80" s="40">
        <f t="shared" si="41"/>
        <v>0.47177951236010712</v>
      </c>
      <c r="H80" s="40">
        <f t="shared" si="42"/>
        <v>0</v>
      </c>
      <c r="I80" s="38">
        <f t="shared" si="43"/>
        <v>23588.975618005355</v>
      </c>
      <c r="J80" s="38" cm="1">
        <f t="array" ref="J80">D80*fert_mesculun</f>
        <v>7920</v>
      </c>
      <c r="K80" s="30">
        <f t="shared" si="46"/>
        <v>31508.975618005355</v>
      </c>
      <c r="L80" s="38"/>
      <c r="M80" s="30">
        <f t="shared" si="47"/>
        <v>31508.975618005355</v>
      </c>
      <c r="N80" s="30">
        <f t="shared" si="44"/>
        <v>-7208.9756180053555</v>
      </c>
      <c r="O80" s="38">
        <f t="shared" si="49"/>
        <v>6060.8739316484862</v>
      </c>
      <c r="P80" s="41" t="str">
        <f t="shared" si="45"/>
        <v/>
      </c>
      <c r="Q80" s="41">
        <f t="shared" si="50"/>
        <v>8.5</v>
      </c>
    </row>
    <row r="81" spans="4:17" ht="15" thickBot="1" x14ac:dyDescent="0.4">
      <c r="D81" s="47">
        <f t="shared" si="48"/>
        <v>10</v>
      </c>
      <c r="E81" s="38" cm="1">
        <f t="array" ref="E81">D81*rev_mesculun</f>
        <v>27000</v>
      </c>
      <c r="F81" s="39">
        <f t="shared" si="40"/>
        <v>509.52187334891573</v>
      </c>
      <c r="G81" s="40">
        <f t="shared" si="41"/>
        <v>0.5</v>
      </c>
      <c r="H81" s="40">
        <f t="shared" si="42"/>
        <v>0</v>
      </c>
      <c r="I81" s="38">
        <f t="shared" si="43"/>
        <v>25000</v>
      </c>
      <c r="J81" s="38" cm="1">
        <f t="array" ref="J81">D81*fert_mesculun</f>
        <v>8800</v>
      </c>
      <c r="K81" s="30">
        <f t="shared" si="46"/>
        <v>33800</v>
      </c>
      <c r="L81" s="38"/>
      <c r="M81" s="30">
        <f t="shared" si="47"/>
        <v>33800</v>
      </c>
      <c r="N81" s="30">
        <f t="shared" si="44"/>
        <v>-6800</v>
      </c>
      <c r="O81" s="38">
        <f t="shared" si="49"/>
        <v>2291.0243819946445</v>
      </c>
      <c r="P81" s="41" t="str">
        <f t="shared" si="45"/>
        <v/>
      </c>
      <c r="Q81" s="41">
        <f t="shared" si="50"/>
        <v>9.5</v>
      </c>
    </row>
    <row r="82" spans="4:17" ht="15" thickBot="1" x14ac:dyDescent="0.4">
      <c r="D82" s="47">
        <f t="shared" si="48"/>
        <v>11</v>
      </c>
      <c r="E82" s="38" cm="1">
        <f t="array" ref="E82">D82*rev_mesculun</f>
        <v>29700</v>
      </c>
      <c r="F82" s="39">
        <f t="shared" si="40"/>
        <v>567.47998644235474</v>
      </c>
      <c r="G82" s="40">
        <f t="shared" si="41"/>
        <v>0.5</v>
      </c>
      <c r="H82" s="40">
        <f t="shared" si="42"/>
        <v>0</v>
      </c>
      <c r="I82" s="38">
        <f t="shared" si="43"/>
        <v>25000</v>
      </c>
      <c r="J82" s="38" cm="1">
        <f t="array" ref="J82">D82*fert_mesculun</f>
        <v>9680</v>
      </c>
      <c r="K82" s="30">
        <f t="shared" ref="K82:K91" si="51">SUM(I82:J82)</f>
        <v>34680</v>
      </c>
      <c r="L82" s="38"/>
      <c r="M82" s="30">
        <f t="shared" ref="M82:M91" si="52">K82+L82</f>
        <v>34680</v>
      </c>
      <c r="N82" s="30">
        <f t="shared" ref="N82:N91" si="53">E82-M82</f>
        <v>-4980</v>
      </c>
      <c r="O82" s="38">
        <f t="shared" si="49"/>
        <v>880</v>
      </c>
      <c r="P82" s="41" t="str">
        <f t="shared" si="45"/>
        <v/>
      </c>
      <c r="Q82" s="41">
        <f t="shared" ref="Q82:Q91" si="54">(D82+D81)/2</f>
        <v>10.5</v>
      </c>
    </row>
    <row r="83" spans="4:17" ht="15" thickBot="1" x14ac:dyDescent="0.4">
      <c r="D83" s="47">
        <f t="shared" si="48"/>
        <v>12</v>
      </c>
      <c r="E83" s="38" cm="1">
        <f t="array" ref="E83">D83*rev_mesculun</f>
        <v>32400</v>
      </c>
      <c r="F83" s="39">
        <f t="shared" si="40"/>
        <v>626.80743957041921</v>
      </c>
      <c r="G83" s="40">
        <f t="shared" si="41"/>
        <v>0.5</v>
      </c>
      <c r="H83" s="40">
        <f t="shared" si="42"/>
        <v>0</v>
      </c>
      <c r="I83" s="38">
        <f t="shared" si="43"/>
        <v>25000</v>
      </c>
      <c r="J83" s="38" cm="1">
        <f t="array" ref="J83">D83*fert_mesculun</f>
        <v>10560</v>
      </c>
      <c r="K83" s="30">
        <f t="shared" si="51"/>
        <v>35560</v>
      </c>
      <c r="L83" s="38"/>
      <c r="M83" s="30">
        <f t="shared" si="52"/>
        <v>35560</v>
      </c>
      <c r="N83" s="30">
        <f t="shared" si="53"/>
        <v>-3160</v>
      </c>
      <c r="O83" s="38">
        <f t="shared" si="49"/>
        <v>880</v>
      </c>
      <c r="P83" s="41" t="str">
        <f t="shared" si="45"/>
        <v/>
      </c>
      <c r="Q83" s="41">
        <f t="shared" si="54"/>
        <v>11.5</v>
      </c>
    </row>
    <row r="84" spans="4:17" ht="15" thickBot="1" x14ac:dyDescent="0.4">
      <c r="D84" s="47">
        <f t="shared" si="48"/>
        <v>13</v>
      </c>
      <c r="E84" s="38" cm="1">
        <f t="array" ref="E84">D84*rev_mesculun</f>
        <v>35100</v>
      </c>
      <c r="F84" s="39">
        <f t="shared" si="40"/>
        <v>687.52941027880343</v>
      </c>
      <c r="G84" s="40">
        <f t="shared" si="41"/>
        <v>0.5</v>
      </c>
      <c r="H84" s="40">
        <f t="shared" si="42"/>
        <v>0</v>
      </c>
      <c r="I84" s="38">
        <f t="shared" si="43"/>
        <v>25000</v>
      </c>
      <c r="J84" s="38" cm="1">
        <f t="array" ref="J84">D84*fert_mesculun</f>
        <v>11440</v>
      </c>
      <c r="K84" s="30">
        <f t="shared" si="51"/>
        <v>36440</v>
      </c>
      <c r="L84" s="38"/>
      <c r="M84" s="30">
        <f t="shared" si="52"/>
        <v>36440</v>
      </c>
      <c r="N84" s="30">
        <f t="shared" si="53"/>
        <v>-1340</v>
      </c>
      <c r="O84" s="38">
        <f t="shared" si="49"/>
        <v>880</v>
      </c>
      <c r="P84" s="41" t="str">
        <f t="shared" si="45"/>
        <v/>
      </c>
      <c r="Q84" s="41">
        <f t="shared" si="54"/>
        <v>12.5</v>
      </c>
    </row>
    <row r="85" spans="4:17" ht="15" thickBot="1" x14ac:dyDescent="0.4">
      <c r="D85" s="47">
        <f t="shared" si="48"/>
        <v>14</v>
      </c>
      <c r="E85" s="38" cm="1">
        <f t="array" ref="E85">D85*rev_mesculun</f>
        <v>37800</v>
      </c>
      <c r="F85" s="39">
        <f t="shared" si="40"/>
        <v>749.67149159246469</v>
      </c>
      <c r="G85" s="40">
        <f t="shared" si="41"/>
        <v>0.5</v>
      </c>
      <c r="H85" s="40">
        <f t="shared" si="42"/>
        <v>2.0605202494767147E-2</v>
      </c>
      <c r="I85" s="38">
        <f t="shared" si="43"/>
        <v>25515.130062369179</v>
      </c>
      <c r="J85" s="38" cm="1">
        <f t="array" ref="J85">D85*fert_mesculun</f>
        <v>12320</v>
      </c>
      <c r="K85" s="30">
        <f t="shared" si="51"/>
        <v>37835.130062369179</v>
      </c>
      <c r="L85" s="38"/>
      <c r="M85" s="30">
        <f t="shared" si="52"/>
        <v>37835.130062369179</v>
      </c>
      <c r="N85" s="30">
        <f t="shared" si="53"/>
        <v>-35.130062369178631</v>
      </c>
      <c r="O85" s="38">
        <f t="shared" si="49"/>
        <v>1395.1300623691786</v>
      </c>
      <c r="P85" s="41" t="str">
        <f t="shared" si="45"/>
        <v/>
      </c>
      <c r="Q85" s="41">
        <f t="shared" si="54"/>
        <v>13.5</v>
      </c>
    </row>
    <row r="86" spans="4:17" ht="15" thickBot="1" x14ac:dyDescent="0.4">
      <c r="D86" s="47">
        <f t="shared" si="48"/>
        <v>15</v>
      </c>
      <c r="E86" s="38" cm="1">
        <f t="array" ref="E86">D86*rev_mesculun</f>
        <v>40500</v>
      </c>
      <c r="F86" s="39">
        <f t="shared" si="40"/>
        <v>813.25969846861108</v>
      </c>
      <c r="G86" s="40">
        <f t="shared" si="41"/>
        <v>0.5</v>
      </c>
      <c r="H86" s="40">
        <f t="shared" si="42"/>
        <v>6.4763679492091025E-2</v>
      </c>
      <c r="I86" s="38">
        <f t="shared" si="43"/>
        <v>26619.091987302276</v>
      </c>
      <c r="J86" s="38" cm="1">
        <f t="array" ref="J86">D86*fert_mesculun</f>
        <v>13200</v>
      </c>
      <c r="K86" s="30">
        <f t="shared" si="51"/>
        <v>39819.091987302279</v>
      </c>
      <c r="L86" s="38"/>
      <c r="M86" s="30">
        <f t="shared" si="52"/>
        <v>39819.091987302279</v>
      </c>
      <c r="N86" s="30">
        <f t="shared" si="53"/>
        <v>680.90801269772055</v>
      </c>
      <c r="O86" s="38">
        <f t="shared" si="49"/>
        <v>1983.9619249331008</v>
      </c>
      <c r="P86" s="41" t="str">
        <f t="shared" si="45"/>
        <v/>
      </c>
      <c r="Q86" s="41">
        <f t="shared" si="54"/>
        <v>14.5</v>
      </c>
    </row>
    <row r="87" spans="4:17" ht="15" thickBot="1" x14ac:dyDescent="0.4">
      <c r="D87" s="47">
        <f t="shared" si="48"/>
        <v>16</v>
      </c>
      <c r="E87" s="38" cm="1">
        <f t="array" ref="E87">D87*rev_mesculun</f>
        <v>43200</v>
      </c>
      <c r="F87" s="39">
        <f t="shared" si="40"/>
        <v>878.32047434610013</v>
      </c>
      <c r="G87" s="40">
        <f t="shared" si="41"/>
        <v>0.5</v>
      </c>
      <c r="H87" s="40">
        <f t="shared" si="42"/>
        <v>0.10994477385145843</v>
      </c>
      <c r="I87" s="38">
        <f t="shared" si="43"/>
        <v>27748.619346286461</v>
      </c>
      <c r="J87" s="38" cm="1">
        <f t="array" ref="J87">D87*fert_mesculun</f>
        <v>14080</v>
      </c>
      <c r="K87" s="30">
        <f t="shared" si="51"/>
        <v>41828.619346286461</v>
      </c>
      <c r="L87" s="38"/>
      <c r="M87" s="30">
        <f t="shared" si="52"/>
        <v>41828.619346286461</v>
      </c>
      <c r="N87" s="30">
        <f t="shared" si="53"/>
        <v>1371.3806537135388</v>
      </c>
      <c r="O87" s="38">
        <f t="shared" si="49"/>
        <v>2009.5273589841818</v>
      </c>
      <c r="P87" s="41" t="str">
        <f t="shared" si="45"/>
        <v/>
      </c>
      <c r="Q87" s="41">
        <f t="shared" si="54"/>
        <v>15.5</v>
      </c>
    </row>
    <row r="88" spans="4:17" ht="15" thickBot="1" x14ac:dyDescent="0.4">
      <c r="D88" s="47">
        <f t="shared" si="48"/>
        <v>17</v>
      </c>
      <c r="E88" s="38" cm="1">
        <f t="array" ref="E88">D88*rev_mesculun</f>
        <v>45900</v>
      </c>
      <c r="F88" s="39">
        <f t="shared" si="40"/>
        <v>944.88069779264049</v>
      </c>
      <c r="G88" s="40">
        <f t="shared" si="41"/>
        <v>0.5</v>
      </c>
      <c r="H88" s="40">
        <f t="shared" si="42"/>
        <v>0.15616715124488922</v>
      </c>
      <c r="I88" s="38">
        <f t="shared" si="43"/>
        <v>28904.178781122231</v>
      </c>
      <c r="J88" s="38" cm="1">
        <f t="array" ref="J88">D88*fert_mesculun</f>
        <v>14960</v>
      </c>
      <c r="K88" s="30">
        <f t="shared" si="51"/>
        <v>43864.178781122231</v>
      </c>
      <c r="L88" s="38"/>
      <c r="M88" s="30">
        <f t="shared" si="52"/>
        <v>43864.178781122231</v>
      </c>
      <c r="N88" s="30">
        <f t="shared" si="53"/>
        <v>2035.8212188777688</v>
      </c>
      <c r="O88" s="38">
        <f t="shared" si="49"/>
        <v>2035.5594348357699</v>
      </c>
      <c r="P88" s="41" t="str">
        <f t="shared" si="45"/>
        <v/>
      </c>
      <c r="Q88" s="41">
        <f t="shared" si="54"/>
        <v>16.5</v>
      </c>
    </row>
    <row r="89" spans="4:17" ht="15" thickBot="1" x14ac:dyDescent="0.4">
      <c r="D89" s="47">
        <f t="shared" si="48"/>
        <v>18</v>
      </c>
      <c r="E89" s="38" cm="1">
        <f t="array" ref="E89">D89*rev_mesculun</f>
        <v>48600</v>
      </c>
      <c r="F89" s="39">
        <f t="shared" si="40"/>
        <v>1012.9676892512279</v>
      </c>
      <c r="G89" s="40">
        <f t="shared" si="41"/>
        <v>0.5</v>
      </c>
      <c r="H89" s="40">
        <f t="shared" si="42"/>
        <v>0.20344978420224155</v>
      </c>
      <c r="I89" s="38">
        <f t="shared" si="43"/>
        <v>30086.244605056039</v>
      </c>
      <c r="J89" s="38" cm="1">
        <f t="array" ref="J89">D89*fert_mesculun</f>
        <v>15840</v>
      </c>
      <c r="K89" s="30">
        <f t="shared" si="51"/>
        <v>45926.244605056039</v>
      </c>
      <c r="L89" s="38"/>
      <c r="M89" s="30">
        <f t="shared" si="52"/>
        <v>45926.244605056039</v>
      </c>
      <c r="N89" s="30">
        <f t="shared" si="53"/>
        <v>2673.7553949439607</v>
      </c>
      <c r="O89" s="38">
        <f t="shared" si="49"/>
        <v>2062.0658239338081</v>
      </c>
      <c r="P89" s="41" t="str">
        <f t="shared" si="45"/>
        <v/>
      </c>
      <c r="Q89" s="41">
        <f t="shared" si="54"/>
        <v>17.5</v>
      </c>
    </row>
    <row r="90" spans="4:17" ht="15" thickBot="1" x14ac:dyDescent="0.4">
      <c r="D90" s="47">
        <f t="shared" si="48"/>
        <v>19</v>
      </c>
      <c r="E90" s="38" cm="1">
        <f t="array" ref="E90">D90*rev_mesculun</f>
        <v>51300</v>
      </c>
      <c r="F90" s="39">
        <f t="shared" si="40"/>
        <v>1082.6092178872495</v>
      </c>
      <c r="G90" s="40">
        <f t="shared" si="41"/>
        <v>0.5</v>
      </c>
      <c r="H90" s="40">
        <f t="shared" si="42"/>
        <v>0.25181195686614549</v>
      </c>
      <c r="I90" s="38">
        <f t="shared" si="43"/>
        <v>31295.298921653637</v>
      </c>
      <c r="J90" s="38" cm="1">
        <f t="array" ref="J90">D90*fert_mesculun</f>
        <v>16720</v>
      </c>
      <c r="K90" s="30">
        <f t="shared" si="51"/>
        <v>48015.298921653637</v>
      </c>
      <c r="L90" s="38"/>
      <c r="M90" s="30">
        <f t="shared" si="52"/>
        <v>48015.298921653637</v>
      </c>
      <c r="N90" s="30">
        <f t="shared" si="53"/>
        <v>3284.7010783463629</v>
      </c>
      <c r="O90" s="38">
        <f t="shared" si="49"/>
        <v>2089.0543165975978</v>
      </c>
      <c r="P90" s="41" t="str">
        <f t="shared" si="45"/>
        <v/>
      </c>
      <c r="Q90" s="41">
        <f t="shared" si="54"/>
        <v>18.5</v>
      </c>
    </row>
    <row r="91" spans="4:17" ht="15" thickBot="1" x14ac:dyDescent="0.4">
      <c r="D91" s="47">
        <f t="shared" si="48"/>
        <v>20</v>
      </c>
      <c r="E91" s="38" cm="1">
        <f t="array" ref="E91">D91*rev_mesculun</f>
        <v>54000</v>
      </c>
      <c r="F91" s="39">
        <f t="shared" si="40"/>
        <v>1153.8335085377266</v>
      </c>
      <c r="G91" s="40">
        <f t="shared" si="41"/>
        <v>0.5</v>
      </c>
      <c r="H91" s="40">
        <f t="shared" si="42"/>
        <v>0.30127326981786573</v>
      </c>
      <c r="I91" s="38">
        <f t="shared" si="43"/>
        <v>32531.831745446641</v>
      </c>
      <c r="J91" s="38" cm="1">
        <f t="array" ref="J91">D91*fert_mesculun</f>
        <v>17600</v>
      </c>
      <c r="K91" s="30">
        <f t="shared" si="51"/>
        <v>50131.831745446645</v>
      </c>
      <c r="L91" s="38"/>
      <c r="M91" s="30">
        <f t="shared" si="52"/>
        <v>50131.831745446645</v>
      </c>
      <c r="N91" s="30">
        <f t="shared" si="53"/>
        <v>3868.1682545533549</v>
      </c>
      <c r="O91" s="38">
        <f t="shared" si="49"/>
        <v>2116.532823793008</v>
      </c>
      <c r="P91" s="41" t="str">
        <f t="shared" si="45"/>
        <v/>
      </c>
      <c r="Q91" s="41">
        <f t="shared" si="54"/>
        <v>19.5</v>
      </c>
    </row>
    <row r="92" spans="4:17" ht="15" thickBot="1" x14ac:dyDescent="0.4">
      <c r="D92" s="47">
        <f t="shared" si="48"/>
        <v>21</v>
      </c>
      <c r="E92" s="38" cm="1">
        <f t="array" ref="E92">D92*rev_mesculun</f>
        <v>56700</v>
      </c>
      <c r="F92" s="39">
        <f t="shared" si="40"/>
        <v>1226.6692487641703</v>
      </c>
      <c r="G92" s="40">
        <f t="shared" si="41"/>
        <v>0.5</v>
      </c>
      <c r="H92" s="40">
        <f t="shared" si="42"/>
        <v>0.35185364497511828</v>
      </c>
      <c r="I92" s="38">
        <f t="shared" si="43"/>
        <v>33796.341124377956</v>
      </c>
      <c r="J92" s="38" cm="1">
        <f t="array" ref="J92">D92*fert_mesculun</f>
        <v>18480</v>
      </c>
      <c r="K92" s="30">
        <f t="shared" ref="K92:K93" si="55">SUM(I92:J92)</f>
        <v>52276.341124377956</v>
      </c>
      <c r="L92" s="38"/>
      <c r="M92" s="30">
        <f t="shared" ref="M92:M93" si="56">K92+L92</f>
        <v>52276.341124377956</v>
      </c>
      <c r="N92" s="30">
        <f t="shared" ref="N92:N93" si="57">E92-M92</f>
        <v>4423.6588756220444</v>
      </c>
      <c r="O92" s="38">
        <f t="shared" si="49"/>
        <v>2144.5093789313105</v>
      </c>
      <c r="P92" s="41" t="str">
        <f t="shared" si="45"/>
        <v/>
      </c>
      <c r="Q92" s="41">
        <f t="shared" ref="Q92:Q93" si="58">(D92+D91)/2</f>
        <v>20.5</v>
      </c>
    </row>
    <row r="93" spans="4:17" ht="15" thickBot="1" x14ac:dyDescent="0.4">
      <c r="D93" s="47">
        <f t="shared" si="48"/>
        <v>22</v>
      </c>
      <c r="E93" s="38" cm="1">
        <f t="array" ref="E93">D93*rev_mesculun</f>
        <v>59400</v>
      </c>
      <c r="F93" s="39">
        <f t="shared" si="40"/>
        <v>1301.1455960105666</v>
      </c>
      <c r="G93" s="40">
        <f t="shared" si="41"/>
        <v>0.5</v>
      </c>
      <c r="H93" s="40">
        <f t="shared" si="42"/>
        <v>0.40357333056289346</v>
      </c>
      <c r="I93" s="38">
        <f t="shared" si="43"/>
        <v>35089.333264072338</v>
      </c>
      <c r="J93" s="38" cm="1">
        <f t="array" ref="J93">D93*fert_mesculun</f>
        <v>19360</v>
      </c>
      <c r="K93" s="30">
        <f t="shared" si="55"/>
        <v>54449.333264072338</v>
      </c>
      <c r="L93" s="38"/>
      <c r="M93" s="30">
        <f t="shared" si="56"/>
        <v>54449.333264072338</v>
      </c>
      <c r="N93" s="30">
        <f t="shared" si="57"/>
        <v>4950.6667359276616</v>
      </c>
      <c r="O93" s="38">
        <f t="shared" si="49"/>
        <v>2172.9921396943828</v>
      </c>
      <c r="P93" s="41" t="str">
        <f t="shared" si="45"/>
        <v/>
      </c>
      <c r="Q93" s="41">
        <f t="shared" si="58"/>
        <v>21.5</v>
      </c>
    </row>
    <row r="94" spans="4:17" ht="15" thickBot="1" x14ac:dyDescent="0.4">
      <c r="D94" s="47">
        <f t="shared" si="48"/>
        <v>23</v>
      </c>
      <c r="E94" s="38" cm="1">
        <f t="array" ref="E94">D94*rev_mesculun</f>
        <v>62100</v>
      </c>
      <c r="F94" s="39">
        <f t="shared" si="40"/>
        <v>1377.292184868003</v>
      </c>
      <c r="G94" s="40">
        <f t="shared" si="41"/>
        <v>0.5</v>
      </c>
      <c r="H94" s="40">
        <f t="shared" si="42"/>
        <v>0.45645290615833545</v>
      </c>
      <c r="I94" s="38">
        <f t="shared" si="43"/>
        <v>36411.322653958385</v>
      </c>
      <c r="J94" s="38" cm="1">
        <f t="array" ref="J94">D94*fert_mesculun</f>
        <v>20240</v>
      </c>
      <c r="K94" s="30">
        <f t="shared" ref="K94" si="59">SUM(I94:J94)</f>
        <v>56651.322653958385</v>
      </c>
      <c r="L94" s="38"/>
      <c r="M94" s="30">
        <f t="shared" ref="M94" si="60">K94+L94</f>
        <v>56651.322653958385</v>
      </c>
      <c r="N94" s="30">
        <f t="shared" ref="N94" si="61">E94-M94</f>
        <v>5448.6773460416152</v>
      </c>
      <c r="O94" s="38">
        <f t="shared" si="49"/>
        <v>2201.9893898860464</v>
      </c>
      <c r="P94" s="41" t="str">
        <f t="shared" si="45"/>
        <v/>
      </c>
      <c r="Q94" s="41">
        <f t="shared" ref="Q94" si="62">(D94+D93)/2</f>
        <v>22.5</v>
      </c>
    </row>
    <row r="95" spans="4:17" ht="15" thickBot="1" x14ac:dyDescent="0.4">
      <c r="D95" s="47">
        <f t="shared" si="48"/>
        <v>24</v>
      </c>
      <c r="E95" s="38" cm="1">
        <f t="array" ref="E95">D95*rev_mesculun</f>
        <v>64800</v>
      </c>
      <c r="F95" s="39">
        <f t="shared" si="40"/>
        <v>1455.1391344474989</v>
      </c>
      <c r="G95" s="40">
        <f t="shared" si="41"/>
        <v>0.5</v>
      </c>
      <c r="H95" s="40">
        <f t="shared" si="42"/>
        <v>0.51051328781076311</v>
      </c>
      <c r="I95" s="38">
        <f t="shared" si="43"/>
        <v>37762.832195269075</v>
      </c>
      <c r="J95" s="38" cm="1">
        <f t="array" ref="J95">D95*fert_mesculun</f>
        <v>21120</v>
      </c>
      <c r="K95" s="30">
        <f t="shared" ref="K95:K96" si="63">SUM(I95:J95)</f>
        <v>58882.832195269075</v>
      </c>
      <c r="L95" s="38"/>
      <c r="M95" s="30">
        <f t="shared" ref="M95:M96" si="64">K95+L95</f>
        <v>58882.832195269075</v>
      </c>
      <c r="N95" s="30">
        <f t="shared" ref="N95:N96" si="65">E95-M95</f>
        <v>5917.1678047309251</v>
      </c>
      <c r="O95" s="38">
        <f t="shared" si="49"/>
        <v>2231.5095413106901</v>
      </c>
      <c r="P95" s="41" t="str">
        <f t="shared" si="45"/>
        <v/>
      </c>
      <c r="Q95" s="41">
        <f t="shared" ref="Q95:Q96" si="66">(D95+D94)/2</f>
        <v>23.5</v>
      </c>
    </row>
    <row r="96" spans="4:17" ht="15" thickBot="1" x14ac:dyDescent="0.4">
      <c r="D96" s="47">
        <f t="shared" si="48"/>
        <v>25</v>
      </c>
      <c r="E96" s="38" cm="1">
        <f t="array" ref="E96">D96*rev_mesculun</f>
        <v>67500</v>
      </c>
      <c r="F96" s="39">
        <f t="shared" si="40"/>
        <v>1534.7170558625965</v>
      </c>
      <c r="G96" s="40">
        <f t="shared" si="41"/>
        <v>0.5</v>
      </c>
      <c r="H96" s="40">
        <f t="shared" si="42"/>
        <v>0.56577573323791419</v>
      </c>
      <c r="I96" s="38">
        <f t="shared" si="43"/>
        <v>39144.39333094786</v>
      </c>
      <c r="J96" s="38" cm="1">
        <f t="array" ref="J96">D96*fert_mesculun</f>
        <v>22000</v>
      </c>
      <c r="K96" s="30">
        <f t="shared" si="63"/>
        <v>61144.39333094786</v>
      </c>
      <c r="L96" s="38"/>
      <c r="M96" s="30">
        <f t="shared" si="64"/>
        <v>61144.39333094786</v>
      </c>
      <c r="N96" s="30">
        <f t="shared" si="65"/>
        <v>6355.6066690521402</v>
      </c>
      <c r="O96" s="38">
        <f t="shared" si="49"/>
        <v>2261.5611356787849</v>
      </c>
      <c r="P96" s="41" t="str">
        <f t="shared" si="45"/>
        <v/>
      </c>
      <c r="Q96" s="41">
        <f t="shared" si="66"/>
        <v>24.5</v>
      </c>
    </row>
    <row r="97" spans="3:17" ht="15" thickBot="1" x14ac:dyDescent="0.4">
      <c r="D97" s="47">
        <f t="shared" si="48"/>
        <v>26</v>
      </c>
      <c r="E97" s="38" cm="1">
        <f t="array" ref="E97">D97*rev_mesculun</f>
        <v>70200</v>
      </c>
      <c r="F97" s="39">
        <f t="shared" si="40"/>
        <v>1616.0570598233144</v>
      </c>
      <c r="G97" s="40">
        <f t="shared" si="41"/>
        <v>0.5</v>
      </c>
      <c r="H97" s="40">
        <f t="shared" si="42"/>
        <v>0.62226184709952392</v>
      </c>
      <c r="I97" s="38">
        <f t="shared" si="43"/>
        <v>40556.546177488097</v>
      </c>
      <c r="J97" s="38" cm="1">
        <f t="array" ref="J97">D97*fert_mesculun</f>
        <v>22880</v>
      </c>
      <c r="K97" s="30">
        <f t="shared" ref="K97:K101" si="67">SUM(I97:J97)</f>
        <v>63436.546177488097</v>
      </c>
      <c r="L97" s="38"/>
      <c r="M97" s="30">
        <f t="shared" ref="M97:M101" si="68">K97+L97</f>
        <v>63436.546177488097</v>
      </c>
      <c r="N97" s="30">
        <f t="shared" ref="N97:N101" si="69">E97-M97</f>
        <v>6763.4538225119031</v>
      </c>
      <c r="O97" s="38">
        <f t="shared" si="49"/>
        <v>2292.1528465402371</v>
      </c>
      <c r="P97" s="41" t="str">
        <f t="shared" si="45"/>
        <v/>
      </c>
      <c r="Q97" s="41">
        <f t="shared" ref="Q97:Q101" si="70">(D97+D96)/2</f>
        <v>25.5</v>
      </c>
    </row>
    <row r="98" spans="3:17" ht="15" thickBot="1" x14ac:dyDescent="0.4">
      <c r="D98" s="47">
        <f t="shared" si="48"/>
        <v>27</v>
      </c>
      <c r="E98" s="38" cm="1">
        <f t="array" ref="E98">D98*rev_mesculun</f>
        <v>72900</v>
      </c>
      <c r="F98" s="39">
        <f t="shared" si="40"/>
        <v>1699.1907643430709</v>
      </c>
      <c r="G98" s="40">
        <f t="shared" si="41"/>
        <v>0.5</v>
      </c>
      <c r="H98" s="40">
        <f t="shared" si="42"/>
        <v>0.67999358634935481</v>
      </c>
      <c r="I98" s="38">
        <f t="shared" si="43"/>
        <v>41999.839658733872</v>
      </c>
      <c r="J98" s="38" cm="1">
        <f t="array" ref="J98">D98*fert_mesculun</f>
        <v>23760</v>
      </c>
      <c r="K98" s="30">
        <f t="shared" si="67"/>
        <v>65759.839658733865</v>
      </c>
      <c r="L98" s="38"/>
      <c r="M98" s="30">
        <f t="shared" si="68"/>
        <v>65759.839658733865</v>
      </c>
      <c r="N98" s="30">
        <f t="shared" si="69"/>
        <v>7140.1603412661352</v>
      </c>
      <c r="O98" s="38">
        <f t="shared" si="49"/>
        <v>2323.2934812457679</v>
      </c>
      <c r="P98" s="41" t="str">
        <f t="shared" si="45"/>
        <v/>
      </c>
      <c r="Q98" s="41">
        <f t="shared" si="70"/>
        <v>26.5</v>
      </c>
    </row>
    <row r="99" spans="3:17" ht="15" thickBot="1" x14ac:dyDescent="0.4">
      <c r="D99" s="47">
        <f t="shared" si="48"/>
        <v>28</v>
      </c>
      <c r="E99" s="38" cm="1">
        <f t="array" ref="E99">D99*rev_mesculun</f>
        <v>75600</v>
      </c>
      <c r="F99" s="39">
        <f t="shared" si="40"/>
        <v>1784.1503025602246</v>
      </c>
      <c r="G99" s="40">
        <f t="shared" si="41"/>
        <v>0.5</v>
      </c>
      <c r="H99" s="40">
        <f t="shared" si="42"/>
        <v>0.73899326566682266</v>
      </c>
      <c r="I99" s="38">
        <f t="shared" si="43"/>
        <v>43474.831641670564</v>
      </c>
      <c r="J99" s="38" cm="1">
        <f t="array" ref="J99">D99*fert_mesculun</f>
        <v>24640</v>
      </c>
      <c r="K99" s="30">
        <f t="shared" si="67"/>
        <v>68114.831641670564</v>
      </c>
      <c r="L99" s="38"/>
      <c r="M99" s="30">
        <f t="shared" si="68"/>
        <v>68114.831641670564</v>
      </c>
      <c r="N99" s="30">
        <f t="shared" si="69"/>
        <v>7485.1683583294362</v>
      </c>
      <c r="O99" s="38">
        <f t="shared" si="49"/>
        <v>2354.9919829366991</v>
      </c>
      <c r="P99" s="41" t="str">
        <f t="shared" si="45"/>
        <v/>
      </c>
      <c r="Q99" s="41">
        <f t="shared" si="70"/>
        <v>27.5</v>
      </c>
    </row>
    <row r="100" spans="3:17" ht="15" thickBot="1" x14ac:dyDescent="0.4">
      <c r="D100" s="47">
        <f t="shared" si="48"/>
        <v>29</v>
      </c>
      <c r="E100" s="38" cm="1">
        <f t="array" ref="E100">D100*rev_mesculun</f>
        <v>78300</v>
      </c>
      <c r="F100" s="39">
        <f t="shared" si="40"/>
        <v>1870.9683306758782</v>
      </c>
      <c r="G100" s="40">
        <f t="shared" si="41"/>
        <v>0.5</v>
      </c>
      <c r="H100" s="40">
        <f t="shared" si="42"/>
        <v>0.79928356296935987</v>
      </c>
      <c r="I100" s="38">
        <f t="shared" si="43"/>
        <v>44982.089074233998</v>
      </c>
      <c r="J100" s="38" cm="1">
        <f t="array" ref="J100">D100*fert_mesculun</f>
        <v>25520</v>
      </c>
      <c r="K100" s="30">
        <f t="shared" si="67"/>
        <v>70502.089074233998</v>
      </c>
      <c r="L100" s="38"/>
      <c r="M100" s="30">
        <f t="shared" si="68"/>
        <v>70502.089074233998</v>
      </c>
      <c r="N100" s="30">
        <f t="shared" si="69"/>
        <v>7797.910925766002</v>
      </c>
      <c r="O100" s="38">
        <f t="shared" si="49"/>
        <v>2387.2574325634341</v>
      </c>
      <c r="P100" s="41" t="str">
        <f t="shared" si="45"/>
        <v/>
      </c>
      <c r="Q100" s="41">
        <f t="shared" si="70"/>
        <v>28.5</v>
      </c>
    </row>
    <row r="101" spans="3:17" ht="15" thickBot="1" x14ac:dyDescent="0.4">
      <c r="C101" s="18" t="s">
        <v>53</v>
      </c>
      <c r="D101" s="47">
        <f t="shared" si="48"/>
        <v>30</v>
      </c>
      <c r="E101" s="38" cm="1">
        <f t="array" ref="E101">D101*rev_mesculun</f>
        <v>81000</v>
      </c>
      <c r="F101" s="39">
        <f t="shared" si="40"/>
        <v>1959.6780360096488</v>
      </c>
      <c r="G101" s="40">
        <f t="shared" si="41"/>
        <v>0.5</v>
      </c>
      <c r="H101" s="40">
        <f t="shared" si="42"/>
        <v>0.86088752500670063</v>
      </c>
      <c r="I101" s="38">
        <f t="shared" si="43"/>
        <v>46522.188125167515</v>
      </c>
      <c r="J101" s="38" cm="1">
        <f t="array" ref="J101">D101*fert_mesculun</f>
        <v>26400</v>
      </c>
      <c r="K101" s="30">
        <f t="shared" si="67"/>
        <v>72922.188125167508</v>
      </c>
      <c r="L101" s="38"/>
      <c r="M101" s="30">
        <f t="shared" si="68"/>
        <v>72922.188125167508</v>
      </c>
      <c r="N101" s="30">
        <f t="shared" si="69"/>
        <v>8077.8118748324923</v>
      </c>
      <c r="O101" s="38">
        <f t="shared" si="49"/>
        <v>2420.0990509335097</v>
      </c>
      <c r="P101" s="41" t="str">
        <f t="shared" si="45"/>
        <v/>
      </c>
      <c r="Q101" s="41">
        <f t="shared" si="70"/>
        <v>29.5</v>
      </c>
    </row>
  </sheetData>
  <mergeCells count="2">
    <mergeCell ref="I15:K15"/>
    <mergeCell ref="F15:H15"/>
  </mergeCells>
  <conditionalFormatting sqref="D24:N44">
    <cfRule type="expression" dxfId="3" priority="8">
      <formula>$D24=q_tomato</formula>
    </cfRule>
  </conditionalFormatting>
  <conditionalFormatting sqref="D47:N68">
    <cfRule type="expression" dxfId="2" priority="14">
      <formula>$D47=$D$19</formula>
    </cfRule>
  </conditionalFormatting>
  <conditionalFormatting sqref="D71:N101">
    <cfRule type="expression" dxfId="1" priority="12">
      <formula>$D71=q_mesculun</formula>
    </cfRule>
  </conditionalFormatting>
  <conditionalFormatting sqref="H17">
    <cfRule type="expression" dxfId="0" priority="1">
      <formula>$H$17&gt;$D$13</formula>
    </cfRule>
  </conditionalFormatting>
  <conditionalFormatting sqref="N24:N44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7:N6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71:N101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595D8-B3C9-47E9-BC1A-84E35D8773E0}">
  <dimension ref="A1"/>
  <sheetViews>
    <sheetView workbookViewId="0">
      <selection activeCell="K1" sqref="K1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42</vt:i4>
      </vt:variant>
    </vt:vector>
  </HeadingPairs>
  <TitlesOfParts>
    <vt:vector size="44" baseType="lpstr">
      <vt:lpstr>Optimize Profit</vt:lpstr>
      <vt:lpstr>Notes</vt:lpstr>
      <vt:lpstr>costs_fixed</vt:lpstr>
      <vt:lpstr>costs_total</vt:lpstr>
      <vt:lpstr>decision_variables</vt:lpstr>
      <vt:lpstr>dim_carrots</vt:lpstr>
      <vt:lpstr>dim_mesculun</vt:lpstr>
      <vt:lpstr>dim_tomatoes</vt:lpstr>
      <vt:lpstr>fert_carrotrs</vt:lpstr>
      <vt:lpstr>fert_mesculun</vt:lpstr>
      <vt:lpstr>fert_tomatoes</vt:lpstr>
      <vt:lpstr>labor_carrots</vt:lpstr>
      <vt:lpstr>labor_hrs_season</vt:lpstr>
      <vt:lpstr>labor_hrs_week</vt:lpstr>
      <vt:lpstr>labor_mesculun</vt:lpstr>
      <vt:lpstr>labor_perm_max</vt:lpstr>
      <vt:lpstr>labor_perm_min</vt:lpstr>
      <vt:lpstr>labor_temp_max</vt:lpstr>
      <vt:lpstr>labor_temp_min</vt:lpstr>
      <vt:lpstr>labor_tomatoes</vt:lpstr>
      <vt:lpstr>labor_wk_carrots</vt:lpstr>
      <vt:lpstr>labor_wk_mesculun</vt:lpstr>
      <vt:lpstr>labor_wk_tomatoes</vt:lpstr>
      <vt:lpstr>labour_hrs</vt:lpstr>
      <vt:lpstr>max_carrot</vt:lpstr>
      <vt:lpstr>max_mesculun</vt:lpstr>
      <vt:lpstr>max_tomato</vt:lpstr>
      <vt:lpstr>num_perm</vt:lpstr>
      <vt:lpstr>num_temp</vt:lpstr>
      <vt:lpstr>output_profit</vt:lpstr>
      <vt:lpstr>perc_field_perm</vt:lpstr>
      <vt:lpstr>perc_field_temp</vt:lpstr>
      <vt:lpstr>q_beds</vt:lpstr>
      <vt:lpstr>q_carrot</vt:lpstr>
      <vt:lpstr>q_max_beds</vt:lpstr>
      <vt:lpstr>q_mesculun</vt:lpstr>
      <vt:lpstr>q_tomato</vt:lpstr>
      <vt:lpstr>rev_carrots</vt:lpstr>
      <vt:lpstr>rev_mesculun</vt:lpstr>
      <vt:lpstr>rev_tomatoes</vt:lpstr>
      <vt:lpstr>rev_total</vt:lpstr>
      <vt:lpstr>season_length</vt:lpstr>
      <vt:lpstr>wage_perm</vt:lpstr>
      <vt:lpstr>wage_temp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Stauffer</dc:creator>
  <cp:lastModifiedBy>Adam Stauffer</cp:lastModifiedBy>
  <dcterms:created xsi:type="dcterms:W3CDTF">2023-09-16T15:36:43Z</dcterms:created>
  <dcterms:modified xsi:type="dcterms:W3CDTF">2026-07-07T12:32:25Z</dcterms:modified>
</cp:coreProperties>
</file>