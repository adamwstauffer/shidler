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accounting-profit-economic-profit-economic-rent\"/>
    </mc:Choice>
  </mc:AlternateContent>
  <xr:revisionPtr revIDLastSave="0" documentId="8_{77B23F5D-680A-494C-A3C4-0D0F4994B65C}" xr6:coauthVersionLast="47" xr6:coauthVersionMax="47" xr10:uidLastSave="{00000000-0000-0000-0000-000000000000}"/>
  <bookViews>
    <workbookView xWindow="-110" yWindow="-110" windowWidth="25820" windowHeight="15500" xr2:uid="{34DBB0E7-A30A-4F1B-ACB7-999614926298}"/>
  </bookViews>
  <sheets>
    <sheet name="Table Financial Analysis Driver" sheetId="1" r:id="rId1"/>
  </sheets>
  <externalReferences>
    <externalReference r:id="rId2"/>
  </externalReferences>
  <definedNames>
    <definedName name="commission_to_uber">'Table Financial Analysis Driver'!#REF!</definedName>
    <definedName name="q_tomato">'[1]Optimize Profit'!$D$18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D36" i="1"/>
  <c r="E36" i="1"/>
  <c r="C36" i="1"/>
  <c r="D30" i="1"/>
  <c r="D34" i="1" s="1"/>
  <c r="E30" i="1"/>
  <c r="E34" i="1" s="1"/>
  <c r="C30" i="1"/>
  <c r="C34" i="1" s="1"/>
  <c r="G34" i="1"/>
  <c r="G32" i="1"/>
  <c r="G30" i="1"/>
  <c r="D32" i="1"/>
  <c r="E32" i="1"/>
  <c r="C32" i="1"/>
  <c r="C11" i="1"/>
  <c r="D19" i="1"/>
  <c r="C19" i="1"/>
  <c r="C27" i="1" s="1"/>
  <c r="E17" i="1"/>
  <c r="D18" i="1"/>
  <c r="D17" i="1"/>
  <c r="D16" i="1"/>
  <c r="D15" i="1"/>
  <c r="G27" i="1"/>
  <c r="E27" i="1"/>
  <c r="G11" i="1"/>
  <c r="G12" i="1" s="1"/>
  <c r="E11" i="1"/>
  <c r="E12" i="1" s="1"/>
  <c r="D11" i="1"/>
  <c r="D12" i="1" s="1"/>
  <c r="C12" i="1"/>
  <c r="D27" i="1" l="1"/>
</calcChain>
</file>

<file path=xl/sharedStrings.xml><?xml version="1.0" encoding="utf-8"?>
<sst xmlns="http://schemas.openxmlformats.org/spreadsheetml/2006/main" count="36" uniqueCount="30">
  <si>
    <t xml:space="preserve"> Uber</t>
  </si>
  <si>
    <t>Yellow Cab</t>
  </si>
  <si>
    <t xml:space="preserve"> Traditional Job</t>
  </si>
  <si>
    <t>Full-Time</t>
  </si>
  <si>
    <t>Part-Time</t>
  </si>
  <si>
    <t>Hrs per day</t>
  </si>
  <si>
    <t>rides per day</t>
  </si>
  <si>
    <t>Avg fee</t>
  </si>
  <si>
    <t>Workload %</t>
  </si>
  <si>
    <t>Commission %</t>
  </si>
  <si>
    <t>Revenue</t>
  </si>
  <si>
    <t>Gross (M)</t>
  </si>
  <si>
    <t>Gross (Y)</t>
  </si>
  <si>
    <t>Explicit Costs (M)</t>
  </si>
  <si>
    <t>Car payments</t>
  </si>
  <si>
    <t>Insurance</t>
  </si>
  <si>
    <t>Gas</t>
  </si>
  <si>
    <t>Maintenance</t>
  </si>
  <si>
    <t>Commission</t>
  </si>
  <si>
    <t>Cab lease</t>
  </si>
  <si>
    <t>Commute</t>
  </si>
  <si>
    <t>…</t>
  </si>
  <si>
    <t>Explicit (Y)</t>
  </si>
  <si>
    <t>Implicit Costs (Y)</t>
  </si>
  <si>
    <t>income (different job)</t>
  </si>
  <si>
    <t xml:space="preserve"> Accounting Profit</t>
  </si>
  <si>
    <t xml:space="preserve"> Economic Profit</t>
  </si>
  <si>
    <t xml:space="preserve"> Normal Profit</t>
  </si>
  <si>
    <t>Economic Rent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</si>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</sst>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1" applyNumberFormat="1" applyFont="1" applyFill="1" applyBorder="1" applyAlignment="1">
      <alignment horizontal="left" vertical="center"/>
    </xf>
    <xf numFmtId="164" fontId="4" fillId="4" borderId="1" xfId="2" applyNumberFormat="1" applyFont="1" applyFill="1" applyBorder="1" applyAlignment="1">
      <alignment horizontal="right" vertical="center"/>
    </xf>
    <xf numFmtId="43" fontId="4" fillId="4" borderId="1" xfId="1" applyFont="1" applyFill="1" applyBorder="1" applyAlignment="1">
      <alignment horizontal="right" vertical="center"/>
    </xf>
    <xf numFmtId="165" fontId="4" fillId="4" borderId="1" xfId="1" applyNumberFormat="1" applyFont="1" applyFill="1" applyBorder="1" applyAlignment="1">
      <alignment horizontal="right" vertical="center"/>
    </xf>
    <xf numFmtId="44" fontId="4" fillId="4" borderId="1" xfId="2" applyFont="1" applyFill="1" applyBorder="1" applyAlignment="1">
      <alignment horizontal="right" vertical="center"/>
    </xf>
    <xf numFmtId="9" fontId="4" fillId="4" borderId="1" xfId="2" applyNumberFormat="1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vertical="center"/>
    </xf>
    <xf numFmtId="164" fontId="5" fillId="2" borderId="1" xfId="2" applyNumberFormat="1" applyFont="1" applyFill="1" applyBorder="1" applyAlignment="1">
      <alignment vertical="center"/>
    </xf>
    <xf numFmtId="164" fontId="7" fillId="2" borderId="1" xfId="2" applyNumberFormat="1" applyFont="1" applyFill="1" applyBorder="1" applyAlignment="1">
      <alignment vertical="center"/>
    </xf>
    <xf numFmtId="164" fontId="5" fillId="2" borderId="0" xfId="2" applyNumberFormat="1" applyFont="1" applyFill="1" applyAlignment="1">
      <alignment vertical="center"/>
    </xf>
    <xf numFmtId="164" fontId="0" fillId="4" borderId="1" xfId="2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0" fillId="2" borderId="0" xfId="2" applyNumberFormat="1" applyFont="1" applyFill="1" applyAlignment="1">
      <alignment vertical="center"/>
    </xf>
    <xf numFmtId="164" fontId="7" fillId="5" borderId="1" xfId="2" applyNumberFormat="1" applyFont="1" applyFill="1" applyBorder="1" applyAlignment="1">
      <alignment vertical="center"/>
    </xf>
    <xf numFmtId="165" fontId="5" fillId="2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University%20of%20Hawaii\BUS620\Supply_Mariganl%20Cost_Optimize%20Profit%20v4.xlsx" TargetMode="External"/><Relationship Id="rId1" Type="http://schemas.openxmlformats.org/officeDocument/2006/relationships/externalLinkPath" Target="file:///G:\My%20Drive\University%20of%20Hawaii\BUS620\Supply_Mariganl%20Cost_Optimize%20Profit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timize Profit"/>
      <sheetName val="Notes"/>
    </sheetNames>
    <sheetDataSet>
      <sheetData sheetId="0">
        <row r="18">
          <cell r="D18">
            <v>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5665-4122-45BD-B321-0968D90A28B0}">
  <dimension ref="B1:H39"/>
  <sheetViews>
    <sheetView tabSelected="1" workbookViewId="0">
      <selection activeCell="G30" sqref="G30"/>
    </sheetView>
  </sheetViews>
  <sheetFormatPr defaultColWidth="3" defaultRowHeight="14.5" x14ac:dyDescent="0.35"/>
  <cols>
    <col min="1" max="1" width="3" style="1"/>
    <col min="2" max="2" width="21" style="1" bestFit="1" customWidth="1"/>
    <col min="3" max="5" width="15" style="1" customWidth="1"/>
    <col min="6" max="6" width="3" style="1"/>
    <col min="7" max="7" width="15" style="1" customWidth="1"/>
    <col min="8" max="16384" width="3" style="1"/>
  </cols>
  <sheetData>
    <row r="1" spans="2:7" ht="15" thickBot="1" x14ac:dyDescent="0.4"/>
    <row r="2" spans="2:7" ht="15" thickBot="1" x14ac:dyDescent="0.4">
      <c r="C2" s="19" t="s">
        <v>0</v>
      </c>
      <c r="D2" s="19"/>
      <c r="E2" s="2" t="s">
        <v>1</v>
      </c>
      <c r="G2" s="3" t="s">
        <v>2</v>
      </c>
    </row>
    <row r="3" spans="2:7" ht="15" thickBot="1" x14ac:dyDescent="0.4">
      <c r="C3" s="2" t="s">
        <v>3</v>
      </c>
      <c r="D3" s="2" t="s">
        <v>4</v>
      </c>
      <c r="E3" s="2" t="s">
        <v>3</v>
      </c>
      <c r="G3" s="2" t="s">
        <v>3</v>
      </c>
    </row>
    <row r="4" spans="2:7" ht="15" thickBot="1" x14ac:dyDescent="0.4">
      <c r="B4" s="4" t="s">
        <v>5</v>
      </c>
      <c r="C4" s="5"/>
      <c r="D4" s="6"/>
      <c r="E4" s="5"/>
      <c r="G4" s="6">
        <v>8</v>
      </c>
    </row>
    <row r="5" spans="2:7" ht="15" thickBot="1" x14ac:dyDescent="0.4">
      <c r="B5" s="4" t="s">
        <v>6</v>
      </c>
      <c r="C5" s="7">
        <v>20</v>
      </c>
      <c r="D5" s="18">
        <v>10</v>
      </c>
      <c r="E5" s="7">
        <v>30</v>
      </c>
      <c r="G5" s="6" t="s">
        <v>29</v>
      </c>
    </row>
    <row r="6" spans="2:7" ht="15" thickBot="1" x14ac:dyDescent="0.4">
      <c r="B6" s="4" t="s">
        <v>7</v>
      </c>
      <c r="C6" s="8">
        <v>12</v>
      </c>
      <c r="D6" s="8">
        <v>12</v>
      </c>
      <c r="E6" s="8">
        <v>10</v>
      </c>
      <c r="G6" s="8">
        <v>20</v>
      </c>
    </row>
    <row r="7" spans="2:7" ht="15" thickBot="1" x14ac:dyDescent="0.4">
      <c r="B7" s="4" t="s">
        <v>8</v>
      </c>
      <c r="C7" s="9">
        <v>1</v>
      </c>
      <c r="D7" s="9">
        <v>0.5</v>
      </c>
      <c r="E7" s="9">
        <v>1</v>
      </c>
      <c r="G7" s="9">
        <v>1</v>
      </c>
    </row>
    <row r="8" spans="2:7" ht="15" thickBot="1" x14ac:dyDescent="0.4">
      <c r="B8" s="4" t="s">
        <v>9</v>
      </c>
      <c r="C8" s="9">
        <v>0.25</v>
      </c>
      <c r="D8" s="9">
        <v>0.25</v>
      </c>
      <c r="E8" s="9"/>
      <c r="G8" s="9"/>
    </row>
    <row r="9" spans="2:7" ht="15" thickBot="1" x14ac:dyDescent="0.4">
      <c r="D9" s="10"/>
    </row>
    <row r="10" spans="2:7" ht="15" thickBot="1" x14ac:dyDescent="0.4">
      <c r="B10" s="3" t="s">
        <v>10</v>
      </c>
    </row>
    <row r="11" spans="2:7" ht="15" thickBot="1" x14ac:dyDescent="0.4">
      <c r="B11" s="3" t="s">
        <v>11</v>
      </c>
      <c r="C11" s="11">
        <f>C5*30*C6</f>
        <v>7200</v>
      </c>
      <c r="D11" s="11">
        <f>D5*30*D6</f>
        <v>3600</v>
      </c>
      <c r="E11" s="11">
        <f>E5*30*E6</f>
        <v>9000</v>
      </c>
      <c r="G11" s="11">
        <f>G4*30*G6</f>
        <v>4800</v>
      </c>
    </row>
    <row r="12" spans="2:7" ht="15" thickBot="1" x14ac:dyDescent="0.4">
      <c r="B12" s="3" t="s">
        <v>12</v>
      </c>
      <c r="C12" s="12">
        <f>C11*12</f>
        <v>86400</v>
      </c>
      <c r="D12" s="12">
        <f>D11*12</f>
        <v>43200</v>
      </c>
      <c r="E12" s="12">
        <f>E11*12</f>
        <v>108000</v>
      </c>
      <c r="G12" s="12">
        <f>G11*12</f>
        <v>57600</v>
      </c>
    </row>
    <row r="13" spans="2:7" ht="15" thickBot="1" x14ac:dyDescent="0.4">
      <c r="C13" s="13"/>
      <c r="D13" s="13"/>
      <c r="E13" s="13"/>
      <c r="G13" s="13"/>
    </row>
    <row r="14" spans="2:7" ht="15" thickBot="1" x14ac:dyDescent="0.4">
      <c r="B14" s="3" t="s">
        <v>13</v>
      </c>
    </row>
    <row r="15" spans="2:7" ht="15" thickBot="1" x14ac:dyDescent="0.4">
      <c r="B15" s="3" t="s">
        <v>14</v>
      </c>
      <c r="C15" s="14">
        <v>250</v>
      </c>
      <c r="D15" s="11">
        <f>C15</f>
        <v>250</v>
      </c>
      <c r="E15" s="14"/>
      <c r="G15" s="14"/>
    </row>
    <row r="16" spans="2:7" ht="15" thickBot="1" x14ac:dyDescent="0.4">
      <c r="B16" s="3" t="s">
        <v>15</v>
      </c>
      <c r="C16" s="14">
        <v>150</v>
      </c>
      <c r="D16" s="11">
        <f>C16</f>
        <v>150</v>
      </c>
      <c r="E16" s="14"/>
      <c r="G16" s="14"/>
    </row>
    <row r="17" spans="2:8" ht="15" thickBot="1" x14ac:dyDescent="0.4">
      <c r="B17" s="3" t="s">
        <v>16</v>
      </c>
      <c r="C17" s="14">
        <v>690</v>
      </c>
      <c r="D17" s="11">
        <f>C17*D7</f>
        <v>345</v>
      </c>
      <c r="E17" s="11">
        <f>C17*E5/C5</f>
        <v>1035</v>
      </c>
      <c r="G17" s="14"/>
    </row>
    <row r="18" spans="2:8" ht="15" thickBot="1" x14ac:dyDescent="0.4">
      <c r="B18" s="3" t="s">
        <v>17</v>
      </c>
      <c r="C18" s="14">
        <v>100</v>
      </c>
      <c r="D18" s="11">
        <f>C18*D7</f>
        <v>50</v>
      </c>
      <c r="E18" s="14"/>
      <c r="G18" s="14"/>
    </row>
    <row r="19" spans="2:8" ht="15" thickBot="1" x14ac:dyDescent="0.4">
      <c r="B19" s="3" t="s">
        <v>18</v>
      </c>
      <c r="C19" s="11">
        <f>C5*C6*30*C8</f>
        <v>1800</v>
      </c>
      <c r="D19" s="11">
        <f>D5*D6*30*D8</f>
        <v>900</v>
      </c>
      <c r="E19" s="14"/>
      <c r="G19" s="14"/>
    </row>
    <row r="20" spans="2:8" ht="15" thickBot="1" x14ac:dyDescent="0.4">
      <c r="B20" s="3" t="s">
        <v>19</v>
      </c>
      <c r="C20" s="14"/>
      <c r="D20" s="14"/>
      <c r="E20" s="14">
        <v>3000</v>
      </c>
      <c r="G20" s="14"/>
    </row>
    <row r="21" spans="2:8" ht="15" thickBot="1" x14ac:dyDescent="0.4">
      <c r="B21" s="3" t="s">
        <v>20</v>
      </c>
      <c r="C21" s="14"/>
      <c r="D21" s="14"/>
      <c r="E21" s="14"/>
      <c r="G21" s="14">
        <v>450</v>
      </c>
    </row>
    <row r="22" spans="2:8" ht="15" thickBot="1" x14ac:dyDescent="0.4">
      <c r="B22" s="3" t="s">
        <v>21</v>
      </c>
      <c r="C22" s="14"/>
      <c r="D22" s="14"/>
      <c r="E22" s="14"/>
      <c r="G22" s="14"/>
    </row>
    <row r="23" spans="2:8" ht="15" thickBot="1" x14ac:dyDescent="0.4">
      <c r="B23" s="3" t="s">
        <v>21</v>
      </c>
      <c r="C23" s="14"/>
      <c r="D23" s="14"/>
      <c r="E23" s="14"/>
      <c r="G23" s="14"/>
    </row>
    <row r="24" spans="2:8" ht="15" thickBot="1" x14ac:dyDescent="0.4">
      <c r="B24" s="3" t="s">
        <v>21</v>
      </c>
      <c r="C24" s="14"/>
      <c r="D24" s="14"/>
      <c r="E24" s="14"/>
      <c r="G24" s="14"/>
    </row>
    <row r="25" spans="2:8" ht="15" thickBot="1" x14ac:dyDescent="0.4">
      <c r="B25" s="3" t="s">
        <v>21</v>
      </c>
      <c r="C25" s="14"/>
      <c r="D25" s="14"/>
      <c r="E25" s="14"/>
      <c r="G25" s="14"/>
    </row>
    <row r="26" spans="2:8" ht="15" thickBot="1" x14ac:dyDescent="0.4">
      <c r="B26" s="3" t="s">
        <v>21</v>
      </c>
      <c r="C26" s="14"/>
      <c r="D26" s="14"/>
      <c r="E26" s="14"/>
      <c r="G26" s="14"/>
    </row>
    <row r="27" spans="2:8" ht="15" thickBot="1" x14ac:dyDescent="0.4">
      <c r="B27" s="3" t="s">
        <v>22</v>
      </c>
      <c r="C27" s="12">
        <f>SUM(C15:C26)*12</f>
        <v>35880</v>
      </c>
      <c r="D27" s="12">
        <f>SUM(D15:D26)*12</f>
        <v>20340</v>
      </c>
      <c r="E27" s="12">
        <f>SUM(E15:E26)*12</f>
        <v>48420</v>
      </c>
      <c r="G27" s="12">
        <f>SUM(G15:G26)*12</f>
        <v>5400</v>
      </c>
      <c r="H27" s="15"/>
    </row>
    <row r="28" spans="2:8" ht="15" thickBot="1" x14ac:dyDescent="0.4"/>
    <row r="29" spans="2:8" ht="15" thickBot="1" x14ac:dyDescent="0.4">
      <c r="B29" s="3" t="s">
        <v>23</v>
      </c>
      <c r="C29" s="16"/>
      <c r="D29" s="16"/>
      <c r="E29" s="16"/>
      <c r="G29" s="16"/>
    </row>
    <row r="30" spans="2:8" s="15" customFormat="1" ht="15" thickBot="1" x14ac:dyDescent="0.4">
      <c r="B30" s="3" t="s">
        <v>24</v>
      </c>
      <c r="C30" s="12">
        <f>G12</f>
        <v>57600</v>
      </c>
      <c r="D30" s="12">
        <f>G12</f>
        <v>57600</v>
      </c>
      <c r="E30" s="12">
        <f>G12</f>
        <v>57600</v>
      </c>
      <c r="F30" s="1"/>
      <c r="G30" s="12">
        <f>C32</f>
        <v>50520</v>
      </c>
      <c r="H30" s="1"/>
    </row>
    <row r="31" spans="2:8" ht="15" thickBot="1" x14ac:dyDescent="0.4"/>
    <row r="32" spans="2:8" ht="15" thickBot="1" x14ac:dyDescent="0.4">
      <c r="B32" s="3" t="s">
        <v>25</v>
      </c>
      <c r="C32" s="17">
        <f>C12-C27</f>
        <v>50520</v>
      </c>
      <c r="D32" s="17">
        <f t="shared" ref="D32:G32" si="0">D12-D27</f>
        <v>22860</v>
      </c>
      <c r="E32" s="17">
        <f t="shared" si="0"/>
        <v>59580</v>
      </c>
      <c r="G32" s="17">
        <f t="shared" si="0"/>
        <v>52200</v>
      </c>
      <c r="H32" s="15"/>
    </row>
    <row r="33" spans="2:8" ht="15" thickBot="1" x14ac:dyDescent="0.4">
      <c r="C33" s="16"/>
      <c r="D33" s="16"/>
      <c r="E33" s="16"/>
      <c r="G33" s="16"/>
    </row>
    <row r="34" spans="2:8" ht="15" thickBot="1" x14ac:dyDescent="0.4">
      <c r="B34" s="3" t="s">
        <v>26</v>
      </c>
      <c r="C34" s="17">
        <f>C32-C30</f>
        <v>-7080</v>
      </c>
      <c r="D34" s="17">
        <f t="shared" ref="D34:G34" si="1">D32-D30</f>
        <v>-34740</v>
      </c>
      <c r="E34" s="17">
        <f t="shared" si="1"/>
        <v>1980</v>
      </c>
      <c r="G34" s="17">
        <f t="shared" si="1"/>
        <v>1680</v>
      </c>
      <c r="H34" s="15"/>
    </row>
    <row r="35" spans="2:8" s="15" customFormat="1" ht="15" thickBot="1" x14ac:dyDescent="0.4">
      <c r="B35" s="1"/>
      <c r="C35" s="16"/>
      <c r="D35" s="16"/>
      <c r="E35" s="16"/>
      <c r="F35" s="1"/>
      <c r="G35" s="16"/>
      <c r="H35" s="1"/>
    </row>
    <row r="36" spans="2:8" ht="15" thickBot="1" x14ac:dyDescent="0.4">
      <c r="B36" s="3" t="s">
        <v>27</v>
      </c>
      <c r="C36" s="17">
        <f>C32-C34</f>
        <v>57600</v>
      </c>
      <c r="D36" s="17">
        <f t="shared" ref="D36:G36" si="2">D32-D34</f>
        <v>57600</v>
      </c>
      <c r="E36" s="17">
        <f t="shared" si="2"/>
        <v>57600</v>
      </c>
      <c r="G36" s="17">
        <f t="shared" si="2"/>
        <v>50520</v>
      </c>
      <c r="H36" s="15"/>
    </row>
    <row r="37" spans="2:8" s="15" customFormat="1" ht="15" thickBot="1" x14ac:dyDescent="0.4">
      <c r="B37" s="1"/>
      <c r="C37" s="1"/>
      <c r="D37" s="1"/>
      <c r="E37" s="1"/>
      <c r="F37" s="1"/>
      <c r="G37" s="1"/>
      <c r="H37" s="1"/>
    </row>
    <row r="38" spans="2:8" ht="15" thickBot="1" x14ac:dyDescent="0.4">
      <c r="B38" s="3" t="s">
        <v>28</v>
      </c>
      <c r="C38" s="17"/>
      <c r="D38" s="17"/>
      <c r="E38" s="17"/>
      <c r="G38" s="17"/>
    </row>
    <row r="39" spans="2:8" s="15" customFormat="1" x14ac:dyDescent="0.35">
      <c r="B39" s="1"/>
      <c r="C39" s="1"/>
      <c r="D39" s="1"/>
      <c r="E39" s="1"/>
      <c r="F39" s="1"/>
      <c r="G39" s="1"/>
      <c r="H39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Financial Analysis 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Stauffer</dc:creator>
  <cp:lastModifiedBy>Adam Stauffer</cp:lastModifiedBy>
  <dcterms:created xsi:type="dcterms:W3CDTF">2023-09-20T05:51:47Z</dcterms:created>
  <dcterms:modified xsi:type="dcterms:W3CDTF">2026-07-07T12:39:21Z</dcterms:modified>
</cp:coreProperties>
</file>