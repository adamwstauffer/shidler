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hidler\courses\BUS-620-Micro-And-Macro-Economics\ignore\in-progess\imperfect-competition-marginal-revenue\"/>
    </mc:Choice>
  </mc:AlternateContent>
  <xr:revisionPtr revIDLastSave="0" documentId="8_{3AD6A8D0-8654-4A9C-AFA0-9AEA873A0766}" xr6:coauthVersionLast="47" xr6:coauthVersionMax="47" xr10:uidLastSave="{00000000-0000-0000-0000-000000000000}"/>
  <bookViews>
    <workbookView xWindow="-110" yWindow="-110" windowWidth="25820" windowHeight="15500" activeTab="4" xr2:uid="{30463BD6-7DB9-4593-8432-5930CC4FCC2A}"/>
  </bookViews>
  <sheets>
    <sheet name="F 8" sheetId="8" r:id="rId1"/>
    <sheet name="ST 6.3" sheetId="7" r:id="rId2"/>
    <sheet name="E 6.3" sheetId="9" r:id="rId3"/>
    <sheet name="Sheet1" sheetId="13" r:id="rId4"/>
    <sheet name="Corn" sheetId="17" r:id="rId5"/>
    <sheet name="Corn (GMO)" sheetId="19" r:id="rId6"/>
    <sheet name="Corn (Roundup)" sheetId="20" r:id="rId7"/>
    <sheet name="xxGMO Corn" sheetId="1" r:id="rId8"/>
    <sheet name="xxGMO Corn (2)" sheetId="12" r:id="rId9"/>
  </sheets>
  <definedNames>
    <definedName name="aD" localSheetId="2">'E 6.3'!$D$6</definedName>
    <definedName name="aD" localSheetId="1">'ST 6.3'!$D$6</definedName>
    <definedName name="aMC" localSheetId="2">'E 6.3'!$F$6</definedName>
    <definedName name="aMC" localSheetId="1">'ST 6.3'!$F$6</definedName>
    <definedName name="aMR" localSheetId="2">'E 6.3'!$E$6</definedName>
    <definedName name="aMR" localSheetId="1">'ST 6.3'!$E$6</definedName>
    <definedName name="atc">'F 8'!$F$4:$F$5</definedName>
    <definedName name="bD" localSheetId="2">'E 6.3'!$D$5</definedName>
    <definedName name="bD" localSheetId="1">'ST 6.3'!$D$5</definedName>
    <definedName name="bMC" localSheetId="2">'E 6.3'!$F$5</definedName>
    <definedName name="bMC" localSheetId="1">'ST 6.3'!$F$5</definedName>
    <definedName name="bMR" localSheetId="2">'E 6.3'!$E$5</definedName>
    <definedName name="bMR" localSheetId="1">'ST 6.3'!$E$5</definedName>
    <definedName name="corn_aQ">Corn!$C$18</definedName>
    <definedName name="corn_bQ2">Corn!$C$19</definedName>
    <definedName name="corn_D">Corn!$E$32:$E$42</definedName>
    <definedName name="corn_D_int">Corn!$C$24</definedName>
    <definedName name="corn_D_slope">Corn!$C$22</definedName>
    <definedName name="corn_FC">Corn!$H$32</definedName>
    <definedName name="corn_MC">Corn!$L$32:$L$42</definedName>
    <definedName name="corn_MC_intercept">Corn!$F$18</definedName>
    <definedName name="corn_MC_optimal">Corn!$F$22</definedName>
    <definedName name="corn_MC_slope">Corn!$F$17</definedName>
    <definedName name="corn_MR">Corn!$K$32:$K$42</definedName>
    <definedName name="corn_MR_int">Corn!$C$25</definedName>
    <definedName name="corn_MR_slope">Corn!$C$23</definedName>
    <definedName name="corn_Output_optimal">Corn!$F$19</definedName>
    <definedName name="corn_P">Corn!$C$12</definedName>
    <definedName name="corn_Profit">Corn!$J$32:$J$42</definedName>
    <definedName name="corn_Q">Corn!$D$32:$D$42</definedName>
    <definedName name="corn_Revenue">Corn!$F$32:$F$42</definedName>
    <definedName name="corn_Revenue_optimal">Corn!$F$20</definedName>
    <definedName name="corn_TC">Corn!$I$32:$I$42</definedName>
    <definedName name="corn_TC_optimal">Corn!$F$24</definedName>
    <definedName name="corn_VC">Corn!$G$32:$G$42</definedName>
    <definedName name="cornGMO_aQ" localSheetId="5">'Corn (GMO)'!$C$18</definedName>
    <definedName name="cornGMO_aQ" localSheetId="6">'Corn (Roundup)'!$C$18</definedName>
    <definedName name="cornGMO_ATC" localSheetId="6">'Corn (Roundup)'!$L$31:$L$41</definedName>
    <definedName name="cornGMO_bQ2" localSheetId="5">'Corn (GMO)'!$C$19</definedName>
    <definedName name="cornGMO_bQ2" localSheetId="6">'Corn (Roundup)'!$C$19</definedName>
    <definedName name="cornGMO_D" localSheetId="6">'Corn (Roundup)'!$E$31:$E$41</definedName>
    <definedName name="cornGMO_D">'Corn (GMO)'!$E$32:$E$42</definedName>
    <definedName name="cornGMO_D_int" localSheetId="6">'Corn (Roundup)'!$C$24</definedName>
    <definedName name="cornGMO_D_int">'Corn (GMO)'!$C$24</definedName>
    <definedName name="cornGMO_D_slope" localSheetId="6">'Corn (Roundup)'!$C$22</definedName>
    <definedName name="cornGMO_D_slope">'Corn (GMO)'!$C$22</definedName>
    <definedName name="cornGMO_FC" localSheetId="4">Corn!$H$32</definedName>
    <definedName name="cornGMO_FC" localSheetId="5">'Corn (GMO)'!$H$32</definedName>
    <definedName name="cornGMO_FC" localSheetId="6">'Corn (Roundup)'!$H$31</definedName>
    <definedName name="cornGMO_MC" localSheetId="5">'Corn (GMO)'!$L$32:$L$42</definedName>
    <definedName name="cornGMO_MC" localSheetId="6">'Corn (Roundup)'!$M$31:$M$41</definedName>
    <definedName name="cornGMO_MC_intercept" localSheetId="5">'Corn (GMO)'!$F$18</definedName>
    <definedName name="cornGMO_MC_intercept" localSheetId="6">'Corn (Roundup)'!$M$5</definedName>
    <definedName name="cornGMO_MC_optimal" localSheetId="5">'Corn (GMO)'!$F$22</definedName>
    <definedName name="cornGMO_MC_optimal" localSheetId="6">'Corn (Roundup)'!$M$9</definedName>
    <definedName name="cornGMO_MC_slope" localSheetId="5">'Corn (GMO)'!$F$17</definedName>
    <definedName name="cornGMO_MC_slope" localSheetId="6">'Corn (Roundup)'!$M$4</definedName>
    <definedName name="cornGMO_MR" localSheetId="5">'Corn (GMO)'!$K$32:$K$42</definedName>
    <definedName name="cornGMO_MR" localSheetId="6">'Corn (Roundup)'!$K$31:$K$41</definedName>
    <definedName name="cornGMO_MR_int" localSheetId="6">'Corn (Roundup)'!$C$25</definedName>
    <definedName name="cornGMO_MR_int">'Corn (GMO)'!$C$25</definedName>
    <definedName name="cornGMO_MR_slope" localSheetId="6">'Corn (Roundup)'!$C$23</definedName>
    <definedName name="cornGMO_MR_slope">'Corn (GMO)'!$C$23</definedName>
    <definedName name="cornGMO_Output_optimal" localSheetId="4">Corn!$F$19</definedName>
    <definedName name="cornGMO_Output_optimal" localSheetId="5">'Corn (GMO)'!$F$19</definedName>
    <definedName name="cornGMO_Output_optimal" localSheetId="6">'Corn (Roundup)'!$M$6</definedName>
    <definedName name="cornGMO_P" localSheetId="5">'Corn (GMO)'!$C$11</definedName>
    <definedName name="cornGMO_P" localSheetId="6">'Corn (Roundup)'!$C$11</definedName>
    <definedName name="cornGMO_P_optimal">'Corn (GMO)'!$F$26</definedName>
    <definedName name="cornGMO_Profit" localSheetId="5">'Corn (GMO)'!$J$32:$J$42</definedName>
    <definedName name="cornGMO_Profit" localSheetId="6">'Corn (Roundup)'!$J$31:$J$41</definedName>
    <definedName name="cornGMO_Q" localSheetId="4">Corn!$D$32:$D$42</definedName>
    <definedName name="cornGMO_Q" localSheetId="5">'Corn (GMO)'!$D$32:$D$42</definedName>
    <definedName name="cornGMO_Q" localSheetId="6">'Corn (Roundup)'!$D$31:$D$41</definedName>
    <definedName name="cornGMO_Revenue" localSheetId="5">'Corn (GMO)'!$F$32:$F$42</definedName>
    <definedName name="cornGMO_Revenue" localSheetId="6">'Corn (Roundup)'!$F$31:$F$41</definedName>
    <definedName name="cornGMO_Revenue_optimal" localSheetId="5">'Corn (GMO)'!$F$20</definedName>
    <definedName name="cornGMO_Revenue_optimal" localSheetId="6">'Corn (Roundup)'!$M$7</definedName>
    <definedName name="cornGMO_TC" localSheetId="5">'Corn (GMO)'!$I$32:$I$42</definedName>
    <definedName name="cornGMO_TC" localSheetId="6">'Corn (Roundup)'!$I$31:$I$41</definedName>
    <definedName name="cornGMO_TC_optimal" localSheetId="5">'Corn (GMO)'!$F$24</definedName>
    <definedName name="cornGMO_TC_optimal" localSheetId="6">'Corn (Roundup)'!$M$12</definedName>
    <definedName name="cornGMO_VC" localSheetId="5">'Corn (GMO)'!$G$32:$G$42</definedName>
    <definedName name="cornGMO_VC" localSheetId="6">'Corn (Roundup)'!$G$31:$G$41</definedName>
    <definedName name="costs" localSheetId="2">'E 6.3'!$J$14:$J$18</definedName>
    <definedName name="costs">'ST 6.3'!$I$14:$I$18</definedName>
    <definedName name="costs_marg" localSheetId="2">'E 6.3'!$G$14:$G$18</definedName>
    <definedName name="costs_marg">'ST 6.3'!$G$14:$G$18</definedName>
    <definedName name="costs_total">'F 8'!$G$4:$G$5</definedName>
    <definedName name="price" localSheetId="2">'E 6.3'!$D$14:$D$18</definedName>
    <definedName name="price" localSheetId="1">'ST 6.3'!$D$14:$D$18</definedName>
    <definedName name="price">'F 8'!$D$4:$D$5</definedName>
    <definedName name="q" localSheetId="2">'E 6.3'!$C$14:$C$18</definedName>
    <definedName name="q" localSheetId="1">'ST 6.3'!$C$14:$C$18</definedName>
    <definedName name="q">'F 8'!$C$4:$C$5</definedName>
    <definedName name="q_prime" localSheetId="2">'E 6.3'!$H$8</definedName>
    <definedName name="q_prime" localSheetId="1">'ST 6.3'!$H$8</definedName>
    <definedName name="rev" localSheetId="2">'E 6.3'!$E$14:$E$18</definedName>
    <definedName name="rev">'ST 6.3'!$E$14:$E$18</definedName>
    <definedName name="revenue">'F 8'!$E$4:$E$5</definedName>
    <definedName name="slope_GMO_Corn" localSheetId="4">Corn!$C$33</definedName>
    <definedName name="slope_GMO_Corn">'xxGMO Corn'!$C$19</definedName>
    <definedName name="solver_adj" localSheetId="4" hidden="1">Corn!#REF!</definedName>
    <definedName name="solver_adj" localSheetId="5" hidden="1">'Corn (GMO)'!#REF!</definedName>
    <definedName name="solver_adj" localSheetId="6" hidden="1">'Corn (Roundup)'!#REF!</definedName>
    <definedName name="solver_adj" localSheetId="2" hidden="1">'E 6.3'!#REF!</definedName>
    <definedName name="solver_adj" localSheetId="0" hidden="1">'F 8'!#REF!</definedName>
    <definedName name="solver_adj" localSheetId="1" hidden="1">'ST 6.3'!#REF!</definedName>
    <definedName name="solver_adj" localSheetId="7" hidden="1">'xxGMO Corn'!#REF!</definedName>
    <definedName name="solver_adj" localSheetId="8" hidden="1">'xxGMO Corn (2)'!$D$19:$D$21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2" hidden="1">0.0001</definedName>
    <definedName name="solver_cvg" localSheetId="0" hidden="1">0.0001</definedName>
    <definedName name="solver_cvg" localSheetId="1" hidden="1">0.0001</definedName>
    <definedName name="solver_cvg" localSheetId="7" hidden="1">0.0001</definedName>
    <definedName name="solver_cvg" localSheetId="8" hidden="1">0.0001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2" hidden="1">1</definedName>
    <definedName name="solver_drv" localSheetId="0" hidden="1">1</definedName>
    <definedName name="solver_drv" localSheetId="1" hidden="1">1</definedName>
    <definedName name="solver_drv" localSheetId="7" hidden="1">1</definedName>
    <definedName name="solver_drv" localSheetId="8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2" hidden="1">1</definedName>
    <definedName name="solver_eng" localSheetId="0" hidden="1">1</definedName>
    <definedName name="solver_eng" localSheetId="1" hidden="1">1</definedName>
    <definedName name="solver_eng" localSheetId="7" hidden="1">1</definedName>
    <definedName name="solver_eng" localSheetId="8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est" localSheetId="7" hidden="1">1</definedName>
    <definedName name="solver_est" localSheetId="8" hidden="1">1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2" hidden="1">2147483647</definedName>
    <definedName name="solver_itr" localSheetId="0" hidden="1">2147483647</definedName>
    <definedName name="solver_itr" localSheetId="1" hidden="1">2147483647</definedName>
    <definedName name="solver_itr" localSheetId="7" hidden="1">2147483647</definedName>
    <definedName name="solver_itr" localSheetId="8" hidden="1">2147483647</definedName>
    <definedName name="solver_lhs1" localSheetId="4" hidden="1">Corn!#REF!</definedName>
    <definedName name="solver_lhs1" localSheetId="5" hidden="1">'Corn (GMO)'!#REF!</definedName>
    <definedName name="solver_lhs1" localSheetId="6" hidden="1">'Corn (Roundup)'!#REF!</definedName>
    <definedName name="solver_lhs1" localSheetId="2" hidden="1">'E 6.3'!#REF!</definedName>
    <definedName name="solver_lhs1" localSheetId="0" hidden="1">'F 8'!#REF!</definedName>
    <definedName name="solver_lhs1" localSheetId="1" hidden="1">'ST 6.3'!#REF!</definedName>
    <definedName name="solver_lhs1" localSheetId="7" hidden="1">'xxGMO Corn'!#REF!</definedName>
    <definedName name="solver_lhs1" localSheetId="8" hidden="1">'xxGMO Corn (2)'!$D$19</definedName>
    <definedName name="solver_lhs10" localSheetId="4" hidden="1">Corn!#REF!</definedName>
    <definedName name="solver_lhs10" localSheetId="5" hidden="1">'Corn (GMO)'!#REF!</definedName>
    <definedName name="solver_lhs10" localSheetId="6" hidden="1">'Corn (Roundup)'!#REF!</definedName>
    <definedName name="solver_lhs10" localSheetId="2" hidden="1">'E 6.3'!#REF!</definedName>
    <definedName name="solver_lhs10" localSheetId="0" hidden="1">'F 8'!#REF!</definedName>
    <definedName name="solver_lhs10" localSheetId="1" hidden="1">'ST 6.3'!#REF!</definedName>
    <definedName name="solver_lhs10" localSheetId="7" hidden="1">'xxGMO Corn'!#REF!</definedName>
    <definedName name="solver_lhs10" localSheetId="8" hidden="1">'xxGMO Corn (2)'!$D$18</definedName>
    <definedName name="solver_lhs2" localSheetId="4" hidden="1">Corn!#REF!</definedName>
    <definedName name="solver_lhs2" localSheetId="5" hidden="1">'Corn (GMO)'!#REF!</definedName>
    <definedName name="solver_lhs2" localSheetId="6" hidden="1">'Corn (Roundup)'!#REF!</definedName>
    <definedName name="solver_lhs2" localSheetId="2" hidden="1">'E 6.3'!#REF!</definedName>
    <definedName name="solver_lhs2" localSheetId="0" hidden="1">'F 8'!#REF!</definedName>
    <definedName name="solver_lhs2" localSheetId="1" hidden="1">'ST 6.3'!#REF!</definedName>
    <definedName name="solver_lhs2" localSheetId="7" hidden="1">'xxGMO Corn'!#REF!</definedName>
    <definedName name="solver_lhs2" localSheetId="8" hidden="1">'xxGMO Corn (2)'!$D$19</definedName>
    <definedName name="solver_lhs3" localSheetId="4" hidden="1">Corn!#REF!</definedName>
    <definedName name="solver_lhs3" localSheetId="5" hidden="1">'Corn (GMO)'!#REF!</definedName>
    <definedName name="solver_lhs3" localSheetId="6" hidden="1">'Corn (Roundup)'!#REF!</definedName>
    <definedName name="solver_lhs3" localSheetId="2" hidden="1">'E 6.3'!#REF!</definedName>
    <definedName name="solver_lhs3" localSheetId="0" hidden="1">'F 8'!#REF!</definedName>
    <definedName name="solver_lhs3" localSheetId="1" hidden="1">'ST 6.3'!#REF!</definedName>
    <definedName name="solver_lhs3" localSheetId="7" hidden="1">'xxGMO Corn'!#REF!</definedName>
    <definedName name="solver_lhs3" localSheetId="8" hidden="1">'xxGMO Corn (2)'!$D$20</definedName>
    <definedName name="solver_lhs4" localSheetId="4" hidden="1">Corn!#REF!</definedName>
    <definedName name="solver_lhs4" localSheetId="5" hidden="1">'Corn (GMO)'!#REF!</definedName>
    <definedName name="solver_lhs4" localSheetId="6" hidden="1">'Corn (Roundup)'!#REF!</definedName>
    <definedName name="solver_lhs4" localSheetId="2" hidden="1">'E 6.3'!#REF!</definedName>
    <definedName name="solver_lhs4" localSheetId="0" hidden="1">'F 8'!#REF!</definedName>
    <definedName name="solver_lhs4" localSheetId="1" hidden="1">'ST 6.3'!#REF!</definedName>
    <definedName name="solver_lhs4" localSheetId="7" hidden="1">'xxGMO Corn'!#REF!</definedName>
    <definedName name="solver_lhs4" localSheetId="8" hidden="1">'xxGMO Corn (2)'!$D$21</definedName>
    <definedName name="solver_lhs5" localSheetId="4" hidden="1">Corn!#REF!</definedName>
    <definedName name="solver_lhs5" localSheetId="5" hidden="1">'Corn (GMO)'!#REF!</definedName>
    <definedName name="solver_lhs5" localSheetId="6" hidden="1">'Corn (Roundup)'!#REF!</definedName>
    <definedName name="solver_lhs5" localSheetId="2" hidden="1">'E 6.3'!#REF!</definedName>
    <definedName name="solver_lhs5" localSheetId="0" hidden="1">'F 8'!#REF!</definedName>
    <definedName name="solver_lhs5" localSheetId="1" hidden="1">'ST 6.3'!#REF!</definedName>
    <definedName name="solver_lhs5" localSheetId="7" hidden="1">'xxGMO Corn'!#REF!</definedName>
    <definedName name="solver_lhs5" localSheetId="8" hidden="1">'xxGMO Corn (2)'!$D$21</definedName>
    <definedName name="solver_lhs6" localSheetId="4" hidden="1">Corn!#REF!</definedName>
    <definedName name="solver_lhs6" localSheetId="5" hidden="1">'Corn (GMO)'!#REF!</definedName>
    <definedName name="solver_lhs6" localSheetId="6" hidden="1">'Corn (Roundup)'!#REF!</definedName>
    <definedName name="solver_lhs6" localSheetId="2" hidden="1">'E 6.3'!#REF!</definedName>
    <definedName name="solver_lhs6" localSheetId="0" hidden="1">'F 8'!#REF!</definedName>
    <definedName name="solver_lhs6" localSheetId="1" hidden="1">'ST 6.3'!#REF!</definedName>
    <definedName name="solver_lhs6" localSheetId="7" hidden="1">'xxGMO Corn'!#REF!</definedName>
    <definedName name="solver_lhs6" localSheetId="8" hidden="1">'xxGMO Corn (2)'!$D$20</definedName>
    <definedName name="solver_lhs7" localSheetId="4" hidden="1">Corn!#REF!</definedName>
    <definedName name="solver_lhs7" localSheetId="5" hidden="1">'Corn (GMO)'!#REF!</definedName>
    <definedName name="solver_lhs7" localSheetId="6" hidden="1">'Corn (Roundup)'!#REF!</definedName>
    <definedName name="solver_lhs7" localSheetId="2" hidden="1">'E 6.3'!#REF!</definedName>
    <definedName name="solver_lhs7" localSheetId="0" hidden="1">'F 8'!#REF!</definedName>
    <definedName name="solver_lhs7" localSheetId="1" hidden="1">'ST 6.3'!#REF!</definedName>
    <definedName name="solver_lhs7" localSheetId="7" hidden="1">'xxGMO Corn'!#REF!</definedName>
    <definedName name="solver_lhs7" localSheetId="8" hidden="1">'xxGMO Corn (2)'!#REF!</definedName>
    <definedName name="solver_lhs8" localSheetId="4" hidden="1">Corn!#REF!</definedName>
    <definedName name="solver_lhs8" localSheetId="5" hidden="1">'Corn (GMO)'!#REF!</definedName>
    <definedName name="solver_lhs8" localSheetId="6" hidden="1">'Corn (Roundup)'!#REF!</definedName>
    <definedName name="solver_lhs8" localSheetId="2" hidden="1">'E 6.3'!#REF!</definedName>
    <definedName name="solver_lhs8" localSheetId="0" hidden="1">'F 8'!#REF!</definedName>
    <definedName name="solver_lhs8" localSheetId="1" hidden="1">'ST 6.3'!#REF!</definedName>
    <definedName name="solver_lhs8" localSheetId="7" hidden="1">'xxGMO Corn'!#REF!</definedName>
    <definedName name="solver_lhs8" localSheetId="8" hidden="1">'xxGMO Corn (2)'!$G$18</definedName>
    <definedName name="solver_lhs9" localSheetId="4" hidden="1">Corn!#REF!</definedName>
    <definedName name="solver_lhs9" localSheetId="5" hidden="1">'Corn (GMO)'!#REF!</definedName>
    <definedName name="solver_lhs9" localSheetId="6" hidden="1">'Corn (Roundup)'!#REF!</definedName>
    <definedName name="solver_lhs9" localSheetId="2" hidden="1">'E 6.3'!#REF!</definedName>
    <definedName name="solver_lhs9" localSheetId="0" hidden="1">'F 8'!#REF!</definedName>
    <definedName name="solver_lhs9" localSheetId="1" hidden="1">'ST 6.3'!#REF!</definedName>
    <definedName name="solver_lhs9" localSheetId="7" hidden="1">'xxGMO Corn'!#REF!</definedName>
    <definedName name="solver_lhs9" localSheetId="8" hidden="1">'xxGMO Corn (2)'!$D$18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7" hidden="1">2147483647</definedName>
    <definedName name="solver_mip" localSheetId="8" hidden="1">2147483647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ni" localSheetId="7" hidden="1">30</definedName>
    <definedName name="solver_mni" localSheetId="8" hidden="1">30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rt" localSheetId="7" hidden="1">0.075</definedName>
    <definedName name="solver_mrt" localSheetId="8" hidden="1">0.075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msl" localSheetId="7" hidden="1">2</definedName>
    <definedName name="solver_msl" localSheetId="8" hidden="1">2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eg" localSheetId="7" hidden="1">1</definedName>
    <definedName name="solver_neg" localSheetId="8" hidden="1">1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od" localSheetId="7" hidden="1">2147483647</definedName>
    <definedName name="solver_nod" localSheetId="8" hidden="1">2147483647</definedName>
    <definedName name="solver_num" localSheetId="4" hidden="1">10</definedName>
    <definedName name="solver_num" localSheetId="5" hidden="1">10</definedName>
    <definedName name="solver_num" localSheetId="6" hidden="1">10</definedName>
    <definedName name="solver_num" localSheetId="2" hidden="1">10</definedName>
    <definedName name="solver_num" localSheetId="0" hidden="1">10</definedName>
    <definedName name="solver_num" localSheetId="1" hidden="1">10</definedName>
    <definedName name="solver_num" localSheetId="7" hidden="1">10</definedName>
    <definedName name="solver_num" localSheetId="8" hidden="1">10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nwt" localSheetId="7" hidden="1">1</definedName>
    <definedName name="solver_nwt" localSheetId="8" hidden="1">1</definedName>
    <definedName name="solver_opt" localSheetId="4" hidden="1">Corn!#REF!</definedName>
    <definedName name="solver_opt" localSheetId="5" hidden="1">'Corn (GMO)'!#REF!</definedName>
    <definedName name="solver_opt" localSheetId="6" hidden="1">'Corn (Roundup)'!#REF!</definedName>
    <definedName name="solver_opt" localSheetId="2" hidden="1">'E 6.3'!#REF!</definedName>
    <definedName name="solver_opt" localSheetId="0" hidden="1">'F 8'!#REF!</definedName>
    <definedName name="solver_opt" localSheetId="1" hidden="1">'ST 6.3'!#REF!</definedName>
    <definedName name="solver_opt" localSheetId="7" hidden="1">'xxGMO Corn'!#REF!</definedName>
    <definedName name="solver_opt" localSheetId="8" hidden="1">'xxGMO Corn (2)'!$J$18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pre" localSheetId="7" hidden="1">0.000001</definedName>
    <definedName name="solver_pre" localSheetId="8" hidden="1">0.000001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2" hidden="1">1</definedName>
    <definedName name="solver_rbv" localSheetId="0" hidden="1">1</definedName>
    <definedName name="solver_rbv" localSheetId="1" hidden="1">1</definedName>
    <definedName name="solver_rbv" localSheetId="7" hidden="1">1</definedName>
    <definedName name="solver_rbv" localSheetId="8" hidden="1">1</definedName>
    <definedName name="solver_rel1" localSheetId="4" hidden="1">4</definedName>
    <definedName name="solver_rel1" localSheetId="5" hidden="1">4</definedName>
    <definedName name="solver_rel1" localSheetId="6" hidden="1">4</definedName>
    <definedName name="solver_rel1" localSheetId="2" hidden="1">4</definedName>
    <definedName name="solver_rel1" localSheetId="0" hidden="1">4</definedName>
    <definedName name="solver_rel1" localSheetId="1" hidden="1">4</definedName>
    <definedName name="solver_rel1" localSheetId="7" hidden="1">4</definedName>
    <definedName name="solver_rel1" localSheetId="8" hidden="1">4</definedName>
    <definedName name="solver_rel10" localSheetId="4" hidden="1">3</definedName>
    <definedName name="solver_rel10" localSheetId="5" hidden="1">3</definedName>
    <definedName name="solver_rel10" localSheetId="6" hidden="1">3</definedName>
    <definedName name="solver_rel10" localSheetId="2" hidden="1">3</definedName>
    <definedName name="solver_rel10" localSheetId="0" hidden="1">3</definedName>
    <definedName name="solver_rel10" localSheetId="1" hidden="1">3</definedName>
    <definedName name="solver_rel10" localSheetId="7" hidden="1">3</definedName>
    <definedName name="solver_rel10" localSheetId="8" hidden="1">3</definedName>
    <definedName name="solver_rel2" localSheetId="4" hidden="1">1</definedName>
    <definedName name="solver_rel2" localSheetId="5" hidden="1">1</definedName>
    <definedName name="solver_rel2" localSheetId="6" hidden="1">1</definedName>
    <definedName name="solver_rel2" localSheetId="2" hidden="1">1</definedName>
    <definedName name="solver_rel2" localSheetId="0" hidden="1">1</definedName>
    <definedName name="solver_rel2" localSheetId="1" hidden="1">1</definedName>
    <definedName name="solver_rel2" localSheetId="7" hidden="1">1</definedName>
    <definedName name="solver_rel2" localSheetId="8" hidden="1">1</definedName>
    <definedName name="solver_rel3" localSheetId="4" hidden="1">1</definedName>
    <definedName name="solver_rel3" localSheetId="5" hidden="1">1</definedName>
    <definedName name="solver_rel3" localSheetId="6" hidden="1">1</definedName>
    <definedName name="solver_rel3" localSheetId="2" hidden="1">1</definedName>
    <definedName name="solver_rel3" localSheetId="0" hidden="1">1</definedName>
    <definedName name="solver_rel3" localSheetId="1" hidden="1">1</definedName>
    <definedName name="solver_rel3" localSheetId="7" hidden="1">1</definedName>
    <definedName name="solver_rel3" localSheetId="8" hidden="1">1</definedName>
    <definedName name="solver_rel4" localSheetId="4" hidden="1">4</definedName>
    <definedName name="solver_rel4" localSheetId="5" hidden="1">4</definedName>
    <definedName name="solver_rel4" localSheetId="6" hidden="1">4</definedName>
    <definedName name="solver_rel4" localSheetId="2" hidden="1">4</definedName>
    <definedName name="solver_rel4" localSheetId="0" hidden="1">4</definedName>
    <definedName name="solver_rel4" localSheetId="1" hidden="1">4</definedName>
    <definedName name="solver_rel4" localSheetId="7" hidden="1">4</definedName>
    <definedName name="solver_rel4" localSheetId="8" hidden="1">4</definedName>
    <definedName name="solver_rel5" localSheetId="4" hidden="1">1</definedName>
    <definedName name="solver_rel5" localSheetId="5" hidden="1">1</definedName>
    <definedName name="solver_rel5" localSheetId="6" hidden="1">1</definedName>
    <definedName name="solver_rel5" localSheetId="2" hidden="1">1</definedName>
    <definedName name="solver_rel5" localSheetId="0" hidden="1">1</definedName>
    <definedName name="solver_rel5" localSheetId="1" hidden="1">1</definedName>
    <definedName name="solver_rel5" localSheetId="7" hidden="1">1</definedName>
    <definedName name="solver_rel5" localSheetId="8" hidden="1">1</definedName>
    <definedName name="solver_rel6" localSheetId="4" hidden="1">4</definedName>
    <definedName name="solver_rel6" localSheetId="5" hidden="1">4</definedName>
    <definedName name="solver_rel6" localSheetId="6" hidden="1">4</definedName>
    <definedName name="solver_rel6" localSheetId="2" hidden="1">4</definedName>
    <definedName name="solver_rel6" localSheetId="0" hidden="1">4</definedName>
    <definedName name="solver_rel6" localSheetId="1" hidden="1">4</definedName>
    <definedName name="solver_rel6" localSheetId="7" hidden="1">4</definedName>
    <definedName name="solver_rel6" localSheetId="8" hidden="1">4</definedName>
    <definedName name="solver_rel7" localSheetId="4" hidden="1">1</definedName>
    <definedName name="solver_rel7" localSheetId="5" hidden="1">1</definedName>
    <definedName name="solver_rel7" localSheetId="6" hidden="1">1</definedName>
    <definedName name="solver_rel7" localSheetId="2" hidden="1">1</definedName>
    <definedName name="solver_rel7" localSheetId="0" hidden="1">1</definedName>
    <definedName name="solver_rel7" localSheetId="1" hidden="1">1</definedName>
    <definedName name="solver_rel7" localSheetId="7" hidden="1">1</definedName>
    <definedName name="solver_rel7" localSheetId="8" hidden="1">1</definedName>
    <definedName name="solver_rel8" localSheetId="4" hidden="1">1</definedName>
    <definedName name="solver_rel8" localSheetId="5" hidden="1">1</definedName>
    <definedName name="solver_rel8" localSheetId="6" hidden="1">1</definedName>
    <definedName name="solver_rel8" localSheetId="2" hidden="1">1</definedName>
    <definedName name="solver_rel8" localSheetId="0" hidden="1">1</definedName>
    <definedName name="solver_rel8" localSheetId="1" hidden="1">1</definedName>
    <definedName name="solver_rel8" localSheetId="7" hidden="1">1</definedName>
    <definedName name="solver_rel8" localSheetId="8" hidden="1">1</definedName>
    <definedName name="solver_rel9" localSheetId="4" hidden="1">1</definedName>
    <definedName name="solver_rel9" localSheetId="5" hidden="1">1</definedName>
    <definedName name="solver_rel9" localSheetId="6" hidden="1">1</definedName>
    <definedName name="solver_rel9" localSheetId="2" hidden="1">1</definedName>
    <definedName name="solver_rel9" localSheetId="0" hidden="1">1</definedName>
    <definedName name="solver_rel9" localSheetId="1" hidden="1">1</definedName>
    <definedName name="solver_rel9" localSheetId="7" hidden="1">1</definedName>
    <definedName name="solver_rel9" localSheetId="8" hidden="1">1</definedName>
    <definedName name="solver_rhs1" localSheetId="4" hidden="1">"integer"</definedName>
    <definedName name="solver_rhs1" localSheetId="5" hidden="1">"integer"</definedName>
    <definedName name="solver_rhs1" localSheetId="6" hidden="1">"integer"</definedName>
    <definedName name="solver_rhs1" localSheetId="2" hidden="1">"integer"</definedName>
    <definedName name="solver_rhs1" localSheetId="0" hidden="1">"integer"</definedName>
    <definedName name="solver_rhs1" localSheetId="1" hidden="1">"integer"</definedName>
    <definedName name="solver_rhs1" localSheetId="7" hidden="1">"integer"</definedName>
    <definedName name="solver_rhs1" localSheetId="8" hidden="1">"integer"</definedName>
    <definedName name="solver_rhs10" localSheetId="4" hidden="1">1</definedName>
    <definedName name="solver_rhs10" localSheetId="5" hidden="1">1</definedName>
    <definedName name="solver_rhs10" localSheetId="6" hidden="1">1</definedName>
    <definedName name="solver_rhs10" localSheetId="2" hidden="1">1</definedName>
    <definedName name="solver_rhs10" localSheetId="0" hidden="1">1</definedName>
    <definedName name="solver_rhs10" localSheetId="1" hidden="1">1</definedName>
    <definedName name="solver_rhs10" localSheetId="7" hidden="1">1</definedName>
    <definedName name="solver_rhs10" localSheetId="8" hidden="1">1</definedName>
    <definedName name="solver_rhs2" localSheetId="4" hidden="1">max_tomato</definedName>
    <definedName name="solver_rhs2" localSheetId="5" hidden="1">max_tomato</definedName>
    <definedName name="solver_rhs2" localSheetId="6" hidden="1">max_tomato</definedName>
    <definedName name="solver_rhs2" localSheetId="2" hidden="1">'E 6.3'!max_tomato</definedName>
    <definedName name="solver_rhs2" localSheetId="0" hidden="1">'F 8'!max_tomato</definedName>
    <definedName name="solver_rhs2" localSheetId="1" hidden="1">'ST 6.3'!max_tomato</definedName>
    <definedName name="solver_rhs2" localSheetId="7" hidden="1">max_tomato</definedName>
    <definedName name="solver_rhs2" localSheetId="8" hidden="1">max_tomato</definedName>
    <definedName name="solver_rhs3" localSheetId="4" hidden="1">max_carrot</definedName>
    <definedName name="solver_rhs3" localSheetId="5" hidden="1">max_carrot</definedName>
    <definedName name="solver_rhs3" localSheetId="6" hidden="1">max_carrot</definedName>
    <definedName name="solver_rhs3" localSheetId="2" hidden="1">'E 6.3'!max_carrot</definedName>
    <definedName name="solver_rhs3" localSheetId="0" hidden="1">'F 8'!max_carrot</definedName>
    <definedName name="solver_rhs3" localSheetId="1" hidden="1">'ST 6.3'!max_carrot</definedName>
    <definedName name="solver_rhs3" localSheetId="7" hidden="1">max_carrot</definedName>
    <definedName name="solver_rhs3" localSheetId="8" hidden="1">max_carrot</definedName>
    <definedName name="solver_rhs4" localSheetId="4" hidden="1">"integer"</definedName>
    <definedName name="solver_rhs4" localSheetId="5" hidden="1">"integer"</definedName>
    <definedName name="solver_rhs4" localSheetId="6" hidden="1">"integer"</definedName>
    <definedName name="solver_rhs4" localSheetId="2" hidden="1">"integer"</definedName>
    <definedName name="solver_rhs4" localSheetId="0" hidden="1">"integer"</definedName>
    <definedName name="solver_rhs4" localSheetId="1" hidden="1">"integer"</definedName>
    <definedName name="solver_rhs4" localSheetId="7" hidden="1">"integer"</definedName>
    <definedName name="solver_rhs4" localSheetId="8" hidden="1">"integer"</definedName>
    <definedName name="solver_rhs5" localSheetId="4" hidden="1">max_mesculun</definedName>
    <definedName name="solver_rhs5" localSheetId="5" hidden="1">max_mesculun</definedName>
    <definedName name="solver_rhs5" localSheetId="6" hidden="1">max_mesculun</definedName>
    <definedName name="solver_rhs5" localSheetId="2" hidden="1">'E 6.3'!max_mesculun</definedName>
    <definedName name="solver_rhs5" localSheetId="0" hidden="1">'F 8'!max_mesculun</definedName>
    <definedName name="solver_rhs5" localSheetId="1" hidden="1">'ST 6.3'!max_mesculun</definedName>
    <definedName name="solver_rhs5" localSheetId="7" hidden="1">max_mesculun</definedName>
    <definedName name="solver_rhs5" localSheetId="8" hidden="1">max_mesculun</definedName>
    <definedName name="solver_rhs6" localSheetId="4" hidden="1">"integer"</definedName>
    <definedName name="solver_rhs6" localSheetId="5" hidden="1">"integer"</definedName>
    <definedName name="solver_rhs6" localSheetId="6" hidden="1">"integer"</definedName>
    <definedName name="solver_rhs6" localSheetId="2" hidden="1">"integer"</definedName>
    <definedName name="solver_rhs6" localSheetId="0" hidden="1">"integer"</definedName>
    <definedName name="solver_rhs6" localSheetId="1" hidden="1">"integer"</definedName>
    <definedName name="solver_rhs6" localSheetId="7" hidden="1">"integer"</definedName>
    <definedName name="solver_rhs6" localSheetId="8" hidden="1">"integer"</definedName>
    <definedName name="solver_rhs7" localSheetId="4" hidden="1">labor_perm_max</definedName>
    <definedName name="solver_rhs7" localSheetId="5" hidden="1">labor_perm_max</definedName>
    <definedName name="solver_rhs7" localSheetId="6" hidden="1">labor_perm_max</definedName>
    <definedName name="solver_rhs7" localSheetId="2" hidden="1">'E 6.3'!labor_perm_max</definedName>
    <definedName name="solver_rhs7" localSheetId="0" hidden="1">'F 8'!labor_perm_max</definedName>
    <definedName name="solver_rhs7" localSheetId="1" hidden="1">'ST 6.3'!labor_perm_max</definedName>
    <definedName name="solver_rhs7" localSheetId="7" hidden="1">labor_perm_max</definedName>
    <definedName name="solver_rhs7" localSheetId="8" hidden="1">labor_perm_max</definedName>
    <definedName name="solver_rhs8" localSheetId="4" hidden="1">labor_temp_max</definedName>
    <definedName name="solver_rhs8" localSheetId="5" hidden="1">labor_temp_max</definedName>
    <definedName name="solver_rhs8" localSheetId="6" hidden="1">labor_temp_max</definedName>
    <definedName name="solver_rhs8" localSheetId="2" hidden="1">'E 6.3'!labor_temp_max</definedName>
    <definedName name="solver_rhs8" localSheetId="0" hidden="1">'F 8'!labor_temp_max</definedName>
    <definedName name="solver_rhs8" localSheetId="1" hidden="1">'ST 6.3'!labor_temp_max</definedName>
    <definedName name="solver_rhs8" localSheetId="7" hidden="1">labor_temp_max</definedName>
    <definedName name="solver_rhs8" localSheetId="8" hidden="1">labor_temp_max</definedName>
    <definedName name="solver_rhs9" localSheetId="4" hidden="1">q_max_beds</definedName>
    <definedName name="solver_rhs9" localSheetId="5" hidden="1">q_max_beds</definedName>
    <definedName name="solver_rhs9" localSheetId="6" hidden="1">q_max_beds</definedName>
    <definedName name="solver_rhs9" localSheetId="2" hidden="1">'E 6.3'!q_max_beds</definedName>
    <definedName name="solver_rhs9" localSheetId="0" hidden="1">'F 8'!q_max_beds</definedName>
    <definedName name="solver_rhs9" localSheetId="1" hidden="1">'ST 6.3'!q_max_beds</definedName>
    <definedName name="solver_rhs9" localSheetId="7" hidden="1">q_max_beds</definedName>
    <definedName name="solver_rhs9" localSheetId="8" hidden="1">q_max_beds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lx" localSheetId="7" hidden="1">2</definedName>
    <definedName name="solver_rlx" localSheetId="8" hidden="1">2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rsd" localSheetId="7" hidden="1">0</definedName>
    <definedName name="solver_rsd" localSheetId="8" hidden="1">0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2" hidden="1">1</definedName>
    <definedName name="solver_scl" localSheetId="0" hidden="1">1</definedName>
    <definedName name="solver_scl" localSheetId="1" hidden="1">1</definedName>
    <definedName name="solver_scl" localSheetId="7" hidden="1">1</definedName>
    <definedName name="solver_scl" localSheetId="8" hidden="1">1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ho" localSheetId="7" hidden="1">2</definedName>
    <definedName name="solver_sho" localSheetId="8" hidden="1">2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ssz" localSheetId="7" hidden="1">100</definedName>
    <definedName name="solver_ssz" localSheetId="8" hidden="1">100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2" hidden="1">2147483647</definedName>
    <definedName name="solver_tim" localSheetId="0" hidden="1">2147483647</definedName>
    <definedName name="solver_tim" localSheetId="1" hidden="1">2147483647</definedName>
    <definedName name="solver_tim" localSheetId="7" hidden="1">2147483647</definedName>
    <definedName name="solver_tim" localSheetId="8" hidden="1">2147483647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2" hidden="1">0.01</definedName>
    <definedName name="solver_tol" localSheetId="0" hidden="1">0.01</definedName>
    <definedName name="solver_tol" localSheetId="1" hidden="1">0.01</definedName>
    <definedName name="solver_tol" localSheetId="7" hidden="1">0.01</definedName>
    <definedName name="solver_tol" localSheetId="8" hidden="1">0.01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2" hidden="1">1</definedName>
    <definedName name="solver_typ" localSheetId="0" hidden="1">1</definedName>
    <definedName name="solver_typ" localSheetId="1" hidden="1">1</definedName>
    <definedName name="solver_typ" localSheetId="7" hidden="1">1</definedName>
    <definedName name="solver_typ" localSheetId="8" hidden="1">1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al" localSheetId="7" hidden="1">0</definedName>
    <definedName name="solver_val" localSheetId="8" hidden="1">0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2" hidden="1">3</definedName>
    <definedName name="solver_ver" localSheetId="0" hidden="1">3</definedName>
    <definedName name="solver_ver" localSheetId="1" hidden="1">3</definedName>
    <definedName name="solver_ver" localSheetId="7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7" l="1"/>
  <c r="F23" i="19"/>
  <c r="H49" i="20"/>
  <c r="H50" i="20" s="1"/>
  <c r="H51" i="20" s="1"/>
  <c r="H52" i="20" s="1"/>
  <c r="H53" i="20" s="1"/>
  <c r="H54" i="20" s="1"/>
  <c r="H55" i="20" s="1"/>
  <c r="H47" i="20"/>
  <c r="H48" i="20" s="1"/>
  <c r="D47" i="20"/>
  <c r="D48" i="20" s="1"/>
  <c r="O46" i="20"/>
  <c r="H46" i="20"/>
  <c r="D46" i="20"/>
  <c r="E45" i="20"/>
  <c r="F45" i="20" s="1"/>
  <c r="H41" i="20"/>
  <c r="H40" i="20"/>
  <c r="H39" i="20"/>
  <c r="H38" i="20"/>
  <c r="H37" i="20"/>
  <c r="H36" i="20"/>
  <c r="H35" i="20"/>
  <c r="H34" i="20"/>
  <c r="H33" i="20"/>
  <c r="H32" i="20"/>
  <c r="D32" i="20"/>
  <c r="E31" i="20"/>
  <c r="D26" i="20"/>
  <c r="D22" i="20" s="1"/>
  <c r="C26" i="20"/>
  <c r="C22" i="20" s="1"/>
  <c r="C25" i="20"/>
  <c r="C19" i="20"/>
  <c r="I14" i="20"/>
  <c r="D14" i="20"/>
  <c r="D13" i="20"/>
  <c r="G13" i="20" s="1"/>
  <c r="G12" i="20"/>
  <c r="E12" i="20"/>
  <c r="C12" i="20"/>
  <c r="M11" i="20"/>
  <c r="G11" i="20"/>
  <c r="E11" i="20"/>
  <c r="I14" i="17"/>
  <c r="I14" i="19"/>
  <c r="C25" i="17"/>
  <c r="C26" i="17"/>
  <c r="C22" i="17" s="1"/>
  <c r="C19" i="17"/>
  <c r="C25" i="19"/>
  <c r="C26" i="19"/>
  <c r="C22" i="19" s="1"/>
  <c r="C19" i="19"/>
  <c r="H42" i="19"/>
  <c r="H41" i="19"/>
  <c r="H40" i="19"/>
  <c r="H39" i="19"/>
  <c r="H38" i="19"/>
  <c r="H37" i="19"/>
  <c r="H36" i="19"/>
  <c r="H35" i="19"/>
  <c r="H34" i="19"/>
  <c r="H33" i="19"/>
  <c r="D33" i="19"/>
  <c r="D34" i="19" s="1"/>
  <c r="D14" i="19"/>
  <c r="D13" i="19"/>
  <c r="G13" i="19" s="1"/>
  <c r="G12" i="19"/>
  <c r="C12" i="19"/>
  <c r="G11" i="19"/>
  <c r="D14" i="17"/>
  <c r="H34" i="17"/>
  <c r="H35" i="17"/>
  <c r="H36" i="17"/>
  <c r="H37" i="17"/>
  <c r="H38" i="17"/>
  <c r="H39" i="17"/>
  <c r="H40" i="17"/>
  <c r="H41" i="17"/>
  <c r="H42" i="17"/>
  <c r="H33" i="17"/>
  <c r="M18" i="1"/>
  <c r="D33" i="17"/>
  <c r="D13" i="17"/>
  <c r="G13" i="17" s="1"/>
  <c r="G12" i="17"/>
  <c r="C12" i="17"/>
  <c r="G11" i="17"/>
  <c r="C19" i="1"/>
  <c r="C20" i="1" s="1"/>
  <c r="K13" i="1"/>
  <c r="K12" i="1"/>
  <c r="G12" i="1"/>
  <c r="D5" i="7"/>
  <c r="G9" i="13"/>
  <c r="D9" i="13"/>
  <c r="F9" i="13"/>
  <c r="C9" i="13"/>
  <c r="C7" i="13"/>
  <c r="D8" i="13"/>
  <c r="D7" i="13"/>
  <c r="F8" i="13"/>
  <c r="F7" i="13"/>
  <c r="C8" i="13"/>
  <c r="G8" i="13"/>
  <c r="G7" i="13"/>
  <c r="E33" i="1"/>
  <c r="O87" i="12"/>
  <c r="M87" i="12"/>
  <c r="M88" i="12" s="1"/>
  <c r="M89" i="12" s="1"/>
  <c r="M90" i="12" s="1"/>
  <c r="H87" i="12"/>
  <c r="H88" i="12" s="1"/>
  <c r="H89" i="12" s="1"/>
  <c r="H90" i="12" s="1"/>
  <c r="E87" i="12"/>
  <c r="E88" i="12" s="1"/>
  <c r="E89" i="12" s="1"/>
  <c r="E90" i="12" s="1"/>
  <c r="D87" i="12"/>
  <c r="D88" i="12" s="1"/>
  <c r="K86" i="12"/>
  <c r="G86" i="12"/>
  <c r="I86" i="12" s="1"/>
  <c r="F86" i="12"/>
  <c r="H63" i="12"/>
  <c r="I63" i="12" s="1"/>
  <c r="D63" i="12"/>
  <c r="D64" i="12" s="1"/>
  <c r="L62" i="12"/>
  <c r="I62" i="12"/>
  <c r="D43" i="12"/>
  <c r="H39" i="12"/>
  <c r="I39" i="12" s="1"/>
  <c r="D39" i="12"/>
  <c r="I38" i="12"/>
  <c r="M38" i="12" s="1"/>
  <c r="E38" i="12"/>
  <c r="E31" i="12" a="1"/>
  <c r="E31" i="12" s="1"/>
  <c r="E30" i="12" a="1"/>
  <c r="E30" i="12" s="1"/>
  <c r="E29" i="12" a="1"/>
  <c r="E29" i="12" s="1"/>
  <c r="E28" i="12" a="1"/>
  <c r="E28" i="12" s="1"/>
  <c r="E27" i="12" a="1"/>
  <c r="E27" i="12" s="1"/>
  <c r="M26" i="12"/>
  <c r="G26" i="12"/>
  <c r="I26" i="12" s="1"/>
  <c r="F26" i="12"/>
  <c r="E26" i="12" a="1"/>
  <c r="E26" i="12" s="1"/>
  <c r="D26" i="12"/>
  <c r="D27" i="12" s="1"/>
  <c r="C26" i="12"/>
  <c r="M25" i="12"/>
  <c r="N26" i="12" s="1"/>
  <c r="G25" i="12"/>
  <c r="I25" i="12" s="1"/>
  <c r="F25" i="12"/>
  <c r="I20" i="12"/>
  <c r="G20" i="12"/>
  <c r="F20" i="12"/>
  <c r="J20" i="12" s="1"/>
  <c r="I19" i="12"/>
  <c r="G19" i="12" a="1"/>
  <c r="G19" i="12" s="1"/>
  <c r="G18" i="12" s="1"/>
  <c r="F19" i="12"/>
  <c r="F18" i="12" s="1"/>
  <c r="J18" i="12"/>
  <c r="H18" i="12"/>
  <c r="I18" i="12" s="1"/>
  <c r="D18" i="12"/>
  <c r="I14" i="12"/>
  <c r="D13" i="12"/>
  <c r="G13" i="12" s="1"/>
  <c r="G12" i="12"/>
  <c r="E12" i="12"/>
  <c r="C12" i="12"/>
  <c r="G11" i="12"/>
  <c r="E11" i="12"/>
  <c r="F18" i="1"/>
  <c r="C12" i="1"/>
  <c r="D19" i="1"/>
  <c r="C15" i="9"/>
  <c r="C16" i="9" s="1"/>
  <c r="C17" i="9" s="1"/>
  <c r="C18" i="9" s="1"/>
  <c r="E6" i="9"/>
  <c r="F5" i="9"/>
  <c r="I8" i="9" s="1"/>
  <c r="I10" i="9" s="1"/>
  <c r="D5" i="9"/>
  <c r="G4" i="8"/>
  <c r="I5" i="8"/>
  <c r="I4" i="8"/>
  <c r="H4" i="8" a="1"/>
  <c r="H4" i="8" s="1"/>
  <c r="E4" i="8"/>
  <c r="E5" i="8"/>
  <c r="G5" i="8"/>
  <c r="F5" i="7"/>
  <c r="E6" i="7"/>
  <c r="E5" i="7"/>
  <c r="P29" i="19"/>
  <c r="K29" i="19"/>
  <c r="G29" i="19"/>
  <c r="E29" i="19"/>
  <c r="G18" i="19"/>
  <c r="G13" i="9"/>
  <c r="G29" i="17"/>
  <c r="E29" i="17"/>
  <c r="G22" i="17"/>
  <c r="N9" i="20"/>
  <c r="G25" i="17"/>
  <c r="N8" i="20"/>
  <c r="G24" i="17"/>
  <c r="G20" i="17"/>
  <c r="J8" i="7"/>
  <c r="F13" i="9"/>
  <c r="J13" i="7"/>
  <c r="G24" i="19"/>
  <c r="G20" i="19"/>
  <c r="S8" i="9"/>
  <c r="G17" i="17"/>
  <c r="N13" i="20"/>
  <c r="N7" i="20"/>
  <c r="G18" i="17"/>
  <c r="G19" i="17"/>
  <c r="F13" i="7"/>
  <c r="E13" i="7"/>
  <c r="G21" i="19"/>
  <c r="G17" i="19"/>
  <c r="G13" i="7"/>
  <c r="G22" i="19"/>
  <c r="N4" i="20"/>
  <c r="E13" i="9"/>
  <c r="S9" i="9"/>
  <c r="N5" i="20"/>
  <c r="I13" i="7"/>
  <c r="J13" i="9"/>
  <c r="N12" i="20"/>
  <c r="N11" i="20"/>
  <c r="J9" i="7"/>
  <c r="K13" i="9"/>
  <c r="G19" i="19"/>
  <c r="N10" i="20"/>
  <c r="N6" i="20"/>
  <c r="G21" i="17"/>
  <c r="G26" i="17"/>
  <c r="G25" i="19"/>
  <c r="G26" i="19"/>
  <c r="E11" i="17" l="1"/>
  <c r="E12" i="17"/>
  <c r="C23" i="19"/>
  <c r="E12" i="19"/>
  <c r="K48" i="20"/>
  <c r="K46" i="20"/>
  <c r="E48" i="20"/>
  <c r="F48" i="20" s="1"/>
  <c r="E46" i="20"/>
  <c r="F46" i="20" s="1"/>
  <c r="E49" i="20"/>
  <c r="K45" i="20"/>
  <c r="K47" i="20"/>
  <c r="E47" i="20"/>
  <c r="F47" i="20" s="1"/>
  <c r="K49" i="20"/>
  <c r="D49" i="20"/>
  <c r="O48" i="20"/>
  <c r="G19" i="1"/>
  <c r="F19" i="1"/>
  <c r="E32" i="20"/>
  <c r="E13" i="20"/>
  <c r="O47" i="20"/>
  <c r="O32" i="20"/>
  <c r="D33" i="20"/>
  <c r="E33" i="20"/>
  <c r="C23" i="20"/>
  <c r="D35" i="19"/>
  <c r="N34" i="19"/>
  <c r="C23" i="17"/>
  <c r="N33" i="19"/>
  <c r="E11" i="19"/>
  <c r="E13" i="19"/>
  <c r="E19" i="1"/>
  <c r="D34" i="17"/>
  <c r="N33" i="17"/>
  <c r="E13" i="17"/>
  <c r="K18" i="1"/>
  <c r="K19" i="1"/>
  <c r="H8" i="7"/>
  <c r="H9" i="7"/>
  <c r="H10" i="7" s="1"/>
  <c r="K26" i="12"/>
  <c r="J26" i="12"/>
  <c r="L26" i="12"/>
  <c r="D65" i="12"/>
  <c r="O64" i="12"/>
  <c r="K25" i="12"/>
  <c r="J25" i="12"/>
  <c r="L25" i="12"/>
  <c r="O88" i="12"/>
  <c r="D89" i="12"/>
  <c r="G88" i="12"/>
  <c r="I88" i="12" s="1"/>
  <c r="L88" i="12" s="1"/>
  <c r="F88" i="12"/>
  <c r="E62" i="12"/>
  <c r="F62" i="12" s="1"/>
  <c r="D67" i="12"/>
  <c r="E92" i="12"/>
  <c r="E93" i="12" s="1"/>
  <c r="E94" i="12" s="1"/>
  <c r="E95" i="12" s="1"/>
  <c r="M63" i="12"/>
  <c r="M64" i="12" s="1"/>
  <c r="M65" i="12" s="1"/>
  <c r="M66" i="12" s="1"/>
  <c r="L63" i="12"/>
  <c r="J86" i="12"/>
  <c r="L86" i="12"/>
  <c r="D28" i="12"/>
  <c r="O27" i="12"/>
  <c r="M27" i="12"/>
  <c r="N27" i="12" s="1"/>
  <c r="G27" i="12"/>
  <c r="I27" i="12" s="1"/>
  <c r="F27" i="12"/>
  <c r="F39" i="12"/>
  <c r="H91" i="12"/>
  <c r="H92" i="12"/>
  <c r="H93" i="12" s="1"/>
  <c r="H94" i="12" s="1"/>
  <c r="H95" i="12" s="1"/>
  <c r="L39" i="12"/>
  <c r="M39" i="12"/>
  <c r="M91" i="12"/>
  <c r="M92" i="12"/>
  <c r="M93" i="12" s="1"/>
  <c r="M94" i="12" s="1"/>
  <c r="M95" i="12" s="1"/>
  <c r="E63" i="12"/>
  <c r="F63" i="12" s="1"/>
  <c r="F38" i="12"/>
  <c r="H64" i="12"/>
  <c r="E43" i="12"/>
  <c r="F43" i="12" s="1"/>
  <c r="E13" i="12"/>
  <c r="L38" i="12"/>
  <c r="F87" i="12"/>
  <c r="J19" i="12"/>
  <c r="N25" i="12"/>
  <c r="O39" i="12"/>
  <c r="G87" i="12"/>
  <c r="I87" i="12" s="1"/>
  <c r="L87" i="12" s="1"/>
  <c r="O26" i="12"/>
  <c r="D40" i="12"/>
  <c r="E67" i="12"/>
  <c r="E39" i="12"/>
  <c r="O63" i="12"/>
  <c r="H40" i="12"/>
  <c r="E65" i="12"/>
  <c r="E64" i="12"/>
  <c r="F64" i="12" s="1"/>
  <c r="D20" i="1"/>
  <c r="G20" i="1" s="1"/>
  <c r="C15" i="7"/>
  <c r="C16" i="7" s="1"/>
  <c r="C17" i="7" s="1"/>
  <c r="C18" i="7" s="1"/>
  <c r="I9" i="9"/>
  <c r="G14" i="9" a="1"/>
  <c r="G14" i="9" s="1"/>
  <c r="J14" i="9" s="1" a="1"/>
  <c r="J14" i="9" s="1"/>
  <c r="D14" i="9"/>
  <c r="D15" i="9"/>
  <c r="D16" i="9"/>
  <c r="E5" i="9"/>
  <c r="H8" i="9" s="1"/>
  <c r="D17" i="9"/>
  <c r="D18" i="9"/>
  <c r="E3" i="7"/>
  <c r="E4" i="7"/>
  <c r="D14" i="7"/>
  <c r="D34" i="20" l="1"/>
  <c r="O33" i="20"/>
  <c r="D50" i="20"/>
  <c r="O49" i="20"/>
  <c r="F49" i="20"/>
  <c r="D36" i="19"/>
  <c r="N35" i="19"/>
  <c r="E20" i="1"/>
  <c r="K20" i="1"/>
  <c r="D35" i="17"/>
  <c r="N34" i="17"/>
  <c r="D16" i="7"/>
  <c r="G14" i="7" a="1"/>
  <c r="G14" i="7" s="1"/>
  <c r="I14" i="7" s="1" a="1"/>
  <c r="I14" i="7" s="1"/>
  <c r="D17" i="7"/>
  <c r="D15" i="7"/>
  <c r="F14" i="7" a="1"/>
  <c r="F14" i="7" s="1"/>
  <c r="D21" i="1"/>
  <c r="G21" i="1" s="1"/>
  <c r="J63" i="12"/>
  <c r="K63" i="12"/>
  <c r="N63" i="12" s="1"/>
  <c r="K64" i="12"/>
  <c r="F28" i="12"/>
  <c r="D29" i="12"/>
  <c r="O28" i="12"/>
  <c r="M28" i="12"/>
  <c r="G28" i="12" s="1"/>
  <c r="I28" i="12" s="1"/>
  <c r="F40" i="12"/>
  <c r="D41" i="12"/>
  <c r="O40" i="12"/>
  <c r="M68" i="12"/>
  <c r="M69" i="12" s="1"/>
  <c r="M70" i="12" s="1"/>
  <c r="M71" i="12" s="1"/>
  <c r="M72" i="12" s="1"/>
  <c r="M73" i="12" s="1"/>
  <c r="M74" i="12" s="1"/>
  <c r="M75" i="12" s="1"/>
  <c r="M67" i="12"/>
  <c r="I40" i="12"/>
  <c r="H41" i="12"/>
  <c r="I64" i="12"/>
  <c r="L64" i="12" s="1"/>
  <c r="H65" i="12"/>
  <c r="K39" i="12"/>
  <c r="J39" i="12"/>
  <c r="E91" i="12"/>
  <c r="F65" i="12"/>
  <c r="D66" i="12"/>
  <c r="O65" i="12"/>
  <c r="J27" i="12"/>
  <c r="F67" i="12"/>
  <c r="O67" i="12"/>
  <c r="K27" i="12"/>
  <c r="L27" i="12"/>
  <c r="K62" i="12"/>
  <c r="N62" i="12" s="1"/>
  <c r="J62" i="12"/>
  <c r="J38" i="12"/>
  <c r="K38" i="12"/>
  <c r="N38" i="12" s="1"/>
  <c r="K88" i="12"/>
  <c r="J88" i="12"/>
  <c r="E40" i="12"/>
  <c r="K87" i="12"/>
  <c r="J87" i="12"/>
  <c r="D90" i="12"/>
  <c r="O89" i="12"/>
  <c r="G89" i="12"/>
  <c r="I89" i="12" s="1"/>
  <c r="L89" i="12" s="1"/>
  <c r="F89" i="12"/>
  <c r="F20" i="1"/>
  <c r="I18" i="9"/>
  <c r="H9" i="9"/>
  <c r="H10" i="9"/>
  <c r="I17" i="9"/>
  <c r="I15" i="9"/>
  <c r="I16" i="9"/>
  <c r="I14" i="9"/>
  <c r="F14" i="9" a="1"/>
  <c r="H18" i="9" s="1"/>
  <c r="E3" i="9"/>
  <c r="E4" i="9"/>
  <c r="E14" i="9" a="1"/>
  <c r="E14" i="9" s="1"/>
  <c r="K14" i="9" s="1" a="1"/>
  <c r="K14" i="9" s="1"/>
  <c r="D51" i="20" l="1"/>
  <c r="O50" i="20"/>
  <c r="E50" i="20"/>
  <c r="F50" i="20" s="1"/>
  <c r="K50" i="20"/>
  <c r="D35" i="20"/>
  <c r="O34" i="20"/>
  <c r="E34" i="20"/>
  <c r="D37" i="19"/>
  <c r="D38" i="19" s="1"/>
  <c r="N36" i="19"/>
  <c r="K21" i="1"/>
  <c r="E21" i="1"/>
  <c r="D36" i="17"/>
  <c r="N35" i="17"/>
  <c r="H15" i="7"/>
  <c r="H16" i="7"/>
  <c r="H18" i="7"/>
  <c r="H17" i="7"/>
  <c r="D22" i="1"/>
  <c r="F21" i="1"/>
  <c r="L28" i="12"/>
  <c r="K28" i="12"/>
  <c r="N28" i="12"/>
  <c r="K65" i="12"/>
  <c r="K40" i="12"/>
  <c r="J40" i="12"/>
  <c r="H66" i="12"/>
  <c r="I65" i="12"/>
  <c r="L65" i="12" s="1"/>
  <c r="N29" i="12"/>
  <c r="D91" i="12"/>
  <c r="G90" i="12"/>
  <c r="I90" i="12" s="1"/>
  <c r="L90" i="12" s="1"/>
  <c r="F90" i="12"/>
  <c r="D92" i="12"/>
  <c r="O90" i="12"/>
  <c r="I41" i="12"/>
  <c r="H42" i="12"/>
  <c r="J28" i="12"/>
  <c r="M40" i="12"/>
  <c r="L40" i="12"/>
  <c r="N86" i="12"/>
  <c r="N87" i="12"/>
  <c r="K89" i="12"/>
  <c r="J89" i="12"/>
  <c r="J64" i="12"/>
  <c r="F29" i="12"/>
  <c r="D30" i="12"/>
  <c r="O29" i="12"/>
  <c r="M29" i="12"/>
  <c r="G29" i="12" s="1"/>
  <c r="I29" i="12" s="1"/>
  <c r="N88" i="12"/>
  <c r="F66" i="12"/>
  <c r="D68" i="12"/>
  <c r="O66" i="12"/>
  <c r="E66" i="12"/>
  <c r="D42" i="12"/>
  <c r="O41" i="12"/>
  <c r="E41" i="12"/>
  <c r="F41" i="12" s="1"/>
  <c r="H14" i="7"/>
  <c r="H17" i="9"/>
  <c r="F14" i="9"/>
  <c r="H14" i="9" s="1"/>
  <c r="H16" i="9"/>
  <c r="H15" i="9"/>
  <c r="D18" i="7"/>
  <c r="D36" i="20" l="1"/>
  <c r="O35" i="20"/>
  <c r="E35" i="20"/>
  <c r="D52" i="20"/>
  <c r="O51" i="20"/>
  <c r="F51" i="20"/>
  <c r="K51" i="20"/>
  <c r="E51" i="20"/>
  <c r="N37" i="19"/>
  <c r="G22" i="1"/>
  <c r="E22" i="1"/>
  <c r="D37" i="17"/>
  <c r="N36" i="17"/>
  <c r="K22" i="1"/>
  <c r="D23" i="1"/>
  <c r="G23" i="1" s="1"/>
  <c r="F22" i="1"/>
  <c r="K41" i="12"/>
  <c r="J41" i="12"/>
  <c r="L29" i="12"/>
  <c r="K29" i="12"/>
  <c r="O91" i="12"/>
  <c r="G91" i="12"/>
  <c r="I91" i="12" s="1"/>
  <c r="L91" i="12" s="1"/>
  <c r="F91" i="12"/>
  <c r="I66" i="12"/>
  <c r="L66" i="12" s="1"/>
  <c r="H67" i="12"/>
  <c r="I67" i="12" s="1"/>
  <c r="H68" i="12"/>
  <c r="N65" i="12"/>
  <c r="N40" i="12"/>
  <c r="J29" i="12"/>
  <c r="I42" i="12"/>
  <c r="H44" i="12"/>
  <c r="H43" i="12"/>
  <c r="I43" i="12" s="1"/>
  <c r="O42" i="12"/>
  <c r="F42" i="12"/>
  <c r="D44" i="12"/>
  <c r="E42" i="12"/>
  <c r="O43" i="12"/>
  <c r="M41" i="12"/>
  <c r="L41" i="12"/>
  <c r="J65" i="12"/>
  <c r="K66" i="12"/>
  <c r="D31" i="12"/>
  <c r="O30" i="12"/>
  <c r="M30" i="12"/>
  <c r="F30" i="12"/>
  <c r="N89" i="12"/>
  <c r="O92" i="12"/>
  <c r="F92" i="12"/>
  <c r="G92" i="12"/>
  <c r="I92" i="12" s="1"/>
  <c r="L92" i="12" s="1"/>
  <c r="D93" i="12"/>
  <c r="N39" i="12"/>
  <c r="N64" i="12"/>
  <c r="K90" i="12"/>
  <c r="J90" i="12"/>
  <c r="D69" i="12"/>
  <c r="O68" i="12"/>
  <c r="E68" i="12"/>
  <c r="F68" i="12" s="1"/>
  <c r="K67" i="12"/>
  <c r="E14" i="7" a="1"/>
  <c r="E14" i="7" s="1"/>
  <c r="J14" i="7" s="1" a="1"/>
  <c r="J14" i="7" s="1"/>
  <c r="D53" i="20" l="1"/>
  <c r="O52" i="20"/>
  <c r="K52" i="20"/>
  <c r="E52" i="20"/>
  <c r="F52" i="20" s="1"/>
  <c r="D37" i="20"/>
  <c r="O36" i="20"/>
  <c r="E36" i="20"/>
  <c r="K23" i="1"/>
  <c r="E23" i="1"/>
  <c r="D38" i="17"/>
  <c r="N37" i="17"/>
  <c r="I19" i="1"/>
  <c r="M19" i="1" s="1"/>
  <c r="N18" i="1" s="1"/>
  <c r="D24" i="1"/>
  <c r="G24" i="1" s="1"/>
  <c r="F23" i="1"/>
  <c r="K68" i="12"/>
  <c r="K92" i="12"/>
  <c r="J92" i="12"/>
  <c r="L67" i="12"/>
  <c r="J67" i="12"/>
  <c r="J30" i="12"/>
  <c r="K91" i="12"/>
  <c r="J91" i="12"/>
  <c r="K42" i="12"/>
  <c r="N41" i="12" s="1"/>
  <c r="J42" i="12"/>
  <c r="K43" i="12"/>
  <c r="O44" i="12"/>
  <c r="E44" i="12"/>
  <c r="F44" i="12" s="1"/>
  <c r="D45" i="12"/>
  <c r="I68" i="12"/>
  <c r="L68" i="12" s="1"/>
  <c r="H69" i="12"/>
  <c r="F31" i="12"/>
  <c r="D32" i="12"/>
  <c r="O31" i="12"/>
  <c r="M31" i="12"/>
  <c r="M43" i="12"/>
  <c r="L43" i="12"/>
  <c r="J43" i="12"/>
  <c r="G30" i="12"/>
  <c r="I30" i="12" s="1"/>
  <c r="D70" i="12"/>
  <c r="O69" i="12"/>
  <c r="E69" i="12"/>
  <c r="F69" i="12" s="1"/>
  <c r="N30" i="12"/>
  <c r="H45" i="12"/>
  <c r="I44" i="12"/>
  <c r="J66" i="12"/>
  <c r="M42" i="12"/>
  <c r="L42" i="12"/>
  <c r="O93" i="12"/>
  <c r="G93" i="12"/>
  <c r="I93" i="12" s="1"/>
  <c r="L93" i="12" s="1"/>
  <c r="F93" i="12"/>
  <c r="D94" i="12"/>
  <c r="H32" i="1"/>
  <c r="H33" i="1" s="1"/>
  <c r="H34" i="1" s="1"/>
  <c r="H35" i="1" s="1"/>
  <c r="D32" i="1"/>
  <c r="O32" i="1" s="1"/>
  <c r="I21" i="1"/>
  <c r="O20" i="1"/>
  <c r="O19" i="1"/>
  <c r="I18" i="1"/>
  <c r="I14" i="1"/>
  <c r="D36" i="1" s="1"/>
  <c r="D13" i="1"/>
  <c r="E11" i="1" s="1"/>
  <c r="G11" i="1"/>
  <c r="D38" i="20" l="1"/>
  <c r="O37" i="20"/>
  <c r="E37" i="20"/>
  <c r="D54" i="20"/>
  <c r="O53" i="20"/>
  <c r="K53" i="20"/>
  <c r="E53" i="20"/>
  <c r="F53" i="20" s="1"/>
  <c r="K24" i="1"/>
  <c r="E24" i="1"/>
  <c r="D39" i="17"/>
  <c r="N38" i="17"/>
  <c r="D25" i="1"/>
  <c r="G25" i="1" s="1"/>
  <c r="F24" i="1"/>
  <c r="K69" i="12"/>
  <c r="K44" i="12"/>
  <c r="J44" i="12"/>
  <c r="G31" i="12"/>
  <c r="I31" i="12" s="1"/>
  <c r="M44" i="12"/>
  <c r="L44" i="12"/>
  <c r="N31" i="12"/>
  <c r="H46" i="12"/>
  <c r="I45" i="12"/>
  <c r="L45" i="12" s="1"/>
  <c r="K93" i="12"/>
  <c r="J93" i="12"/>
  <c r="O70" i="12"/>
  <c r="E70" i="12"/>
  <c r="F70" i="12" s="1"/>
  <c r="D71" i="12"/>
  <c r="F32" i="12"/>
  <c r="D33" i="12"/>
  <c r="O32" i="12"/>
  <c r="M32" i="12"/>
  <c r="I69" i="12"/>
  <c r="L69" i="12" s="1"/>
  <c r="H70" i="12"/>
  <c r="O94" i="12"/>
  <c r="F94" i="12"/>
  <c r="G94" i="12"/>
  <c r="I94" i="12" s="1"/>
  <c r="L94" i="12" s="1"/>
  <c r="D95" i="12"/>
  <c r="J68" i="12"/>
  <c r="L30" i="12"/>
  <c r="K30" i="12"/>
  <c r="F45" i="12"/>
  <c r="D46" i="12"/>
  <c r="O45" i="12"/>
  <c r="E45" i="12"/>
  <c r="N68" i="12"/>
  <c r="E31" i="1"/>
  <c r="E12" i="1"/>
  <c r="E13" i="1"/>
  <c r="G13" i="1"/>
  <c r="D33" i="1"/>
  <c r="O33" i="1" s="1"/>
  <c r="H36" i="1"/>
  <c r="H37" i="1"/>
  <c r="H38" i="1" s="1"/>
  <c r="L18" i="1"/>
  <c r="J18" i="1"/>
  <c r="L19" i="1"/>
  <c r="L21" i="1"/>
  <c r="I20" i="1"/>
  <c r="O21" i="1"/>
  <c r="J21" i="1"/>
  <c r="J19" i="1"/>
  <c r="O54" i="20" l="1"/>
  <c r="D55" i="20"/>
  <c r="E54" i="20"/>
  <c r="F54" i="20" s="1"/>
  <c r="K54" i="20"/>
  <c r="D39" i="20"/>
  <c r="O38" i="20"/>
  <c r="E38" i="20"/>
  <c r="J20" i="1"/>
  <c r="M20" i="1"/>
  <c r="M21" i="1"/>
  <c r="E25" i="1"/>
  <c r="K25" i="1"/>
  <c r="D40" i="17"/>
  <c r="N39" i="17"/>
  <c r="D26" i="1"/>
  <c r="G26" i="1" s="1"/>
  <c r="F25" i="1"/>
  <c r="K70" i="12"/>
  <c r="I70" i="12"/>
  <c r="L70" i="12" s="1"/>
  <c r="H71" i="12"/>
  <c r="O33" i="12"/>
  <c r="F33" i="12"/>
  <c r="D34" i="12"/>
  <c r="M33" i="12"/>
  <c r="G33" i="12" s="1"/>
  <c r="I33" i="12" s="1"/>
  <c r="O95" i="12"/>
  <c r="G95" i="12"/>
  <c r="I95" i="12" s="1"/>
  <c r="L95" i="12" s="1"/>
  <c r="F95" i="12"/>
  <c r="G32" i="12"/>
  <c r="I32" i="12" s="1"/>
  <c r="K31" i="12"/>
  <c r="L31" i="12"/>
  <c r="N32" i="12"/>
  <c r="K45" i="12"/>
  <c r="J45" i="12"/>
  <c r="K94" i="12"/>
  <c r="J94" i="12"/>
  <c r="H47" i="12"/>
  <c r="I46" i="12"/>
  <c r="L46" i="12" s="1"/>
  <c r="D72" i="12"/>
  <c r="O71" i="12"/>
  <c r="E71" i="12"/>
  <c r="F71" i="12"/>
  <c r="E36" i="1"/>
  <c r="F36" i="1" s="1"/>
  <c r="E32" i="1"/>
  <c r="F32" i="1" s="1"/>
  <c r="D47" i="12"/>
  <c r="O46" i="12"/>
  <c r="E46" i="12"/>
  <c r="F46" i="12" s="1"/>
  <c r="J32" i="12"/>
  <c r="J31" i="12"/>
  <c r="J69" i="12"/>
  <c r="N92" i="12"/>
  <c r="N69" i="12"/>
  <c r="F31" i="1"/>
  <c r="K31" i="1" s="1"/>
  <c r="F33" i="1"/>
  <c r="D34" i="1"/>
  <c r="E34" i="1" s="1"/>
  <c r="H39" i="1"/>
  <c r="I38" i="1"/>
  <c r="I22" i="1"/>
  <c r="M22" i="1" s="1"/>
  <c r="O22" i="1"/>
  <c r="L20" i="1"/>
  <c r="D40" i="20" l="1"/>
  <c r="O39" i="20"/>
  <c r="E39" i="20"/>
  <c r="O55" i="20"/>
  <c r="K55" i="20"/>
  <c r="E55" i="20"/>
  <c r="F55" i="20" s="1"/>
  <c r="N21" i="1"/>
  <c r="N20" i="1"/>
  <c r="N19" i="1"/>
  <c r="N40" i="17"/>
  <c r="D41" i="17"/>
  <c r="I25" i="1"/>
  <c r="K26" i="1"/>
  <c r="E26" i="1"/>
  <c r="D27" i="1"/>
  <c r="G27" i="1" s="1"/>
  <c r="F26" i="1"/>
  <c r="L33" i="12"/>
  <c r="K33" i="12"/>
  <c r="J46" i="12"/>
  <c r="K46" i="12"/>
  <c r="H48" i="12"/>
  <c r="I47" i="12"/>
  <c r="N94" i="12"/>
  <c r="J33" i="12"/>
  <c r="D35" i="12"/>
  <c r="M34" i="12"/>
  <c r="G34" i="12"/>
  <c r="I34" i="12" s="1"/>
  <c r="F34" i="12"/>
  <c r="J34" i="12" s="1"/>
  <c r="O34" i="12"/>
  <c r="D48" i="12"/>
  <c r="O47" i="12"/>
  <c r="E47" i="12"/>
  <c r="F47" i="12" s="1"/>
  <c r="M45" i="12"/>
  <c r="N44" i="12" s="1"/>
  <c r="N93" i="12"/>
  <c r="N33" i="12"/>
  <c r="K71" i="12"/>
  <c r="J71" i="12"/>
  <c r="H72" i="12"/>
  <c r="I71" i="12"/>
  <c r="L71" i="12" s="1"/>
  <c r="L32" i="12"/>
  <c r="K32" i="12"/>
  <c r="K95" i="12"/>
  <c r="N95" i="12" s="1"/>
  <c r="J95" i="12"/>
  <c r="J70" i="12"/>
  <c r="D73" i="12"/>
  <c r="O72" i="12"/>
  <c r="E72" i="12"/>
  <c r="F72" i="12" s="1"/>
  <c r="N70" i="12"/>
  <c r="K33" i="1"/>
  <c r="F34" i="1"/>
  <c r="O34" i="1"/>
  <c r="K32" i="1"/>
  <c r="D35" i="1"/>
  <c r="O35" i="1" s="1"/>
  <c r="K34" i="1"/>
  <c r="I39" i="1"/>
  <c r="H40" i="1"/>
  <c r="H41" i="1" s="1"/>
  <c r="H42" i="1" s="1"/>
  <c r="H43" i="1" s="1"/>
  <c r="H44" i="1" s="1"/>
  <c r="I23" i="1"/>
  <c r="M23" i="1" s="1"/>
  <c r="N22" i="1" s="1"/>
  <c r="O23" i="1"/>
  <c r="J22" i="1"/>
  <c r="L22" i="1"/>
  <c r="D41" i="20" l="1"/>
  <c r="O40" i="20"/>
  <c r="E40" i="20"/>
  <c r="K31" i="20" a="1"/>
  <c r="L25" i="1"/>
  <c r="K27" i="1"/>
  <c r="E27" i="1"/>
  <c r="N41" i="17"/>
  <c r="D42" i="17"/>
  <c r="E32" i="17" s="1" a="1"/>
  <c r="E32" i="17" s="1"/>
  <c r="D28" i="1"/>
  <c r="G28" i="1" s="1"/>
  <c r="F27" i="1"/>
  <c r="K72" i="12"/>
  <c r="J47" i="12"/>
  <c r="K47" i="12"/>
  <c r="D74" i="12"/>
  <c r="O73" i="12"/>
  <c r="E73" i="12"/>
  <c r="F73" i="12" s="1"/>
  <c r="N35" i="12"/>
  <c r="N34" i="12"/>
  <c r="N45" i="12"/>
  <c r="M47" i="12"/>
  <c r="N46" i="12" s="1"/>
  <c r="L47" i="12"/>
  <c r="H49" i="12"/>
  <c r="I48" i="12"/>
  <c r="L34" i="12"/>
  <c r="K34" i="12"/>
  <c r="D49" i="12"/>
  <c r="O48" i="12"/>
  <c r="E48" i="12"/>
  <c r="F48" i="12" s="1"/>
  <c r="N71" i="12"/>
  <c r="O35" i="12"/>
  <c r="M35" i="12"/>
  <c r="F35" i="12"/>
  <c r="G35" i="12"/>
  <c r="I35" i="12" s="1"/>
  <c r="H73" i="12"/>
  <c r="I72" i="12"/>
  <c r="L72" i="12" s="1"/>
  <c r="E35" i="1"/>
  <c r="F35" i="1" s="1"/>
  <c r="K36" i="1" s="1"/>
  <c r="O36" i="1"/>
  <c r="D37" i="1"/>
  <c r="D38" i="1" s="1"/>
  <c r="J23" i="1"/>
  <c r="O24" i="1"/>
  <c r="L23" i="1"/>
  <c r="K31" i="20" l="1"/>
  <c r="O41" i="20"/>
  <c r="E41" i="20"/>
  <c r="F31" i="20" s="1" a="1"/>
  <c r="F31" i="20" s="1"/>
  <c r="G31" i="20" a="1"/>
  <c r="G31" i="20" s="1"/>
  <c r="I31" i="20" s="1" a="1"/>
  <c r="G45" i="20" a="1"/>
  <c r="G32" i="17" a="1"/>
  <c r="G32" i="17" s="1"/>
  <c r="I32" i="17" s="1" a="1"/>
  <c r="F32" i="17" a="1"/>
  <c r="N42" i="17"/>
  <c r="E28" i="1"/>
  <c r="K28" i="1"/>
  <c r="F28" i="1"/>
  <c r="K48" i="12"/>
  <c r="J48" i="12"/>
  <c r="K73" i="12"/>
  <c r="J73" i="12"/>
  <c r="D75" i="12"/>
  <c r="O74" i="12"/>
  <c r="E74" i="12"/>
  <c r="F74" i="12" s="1"/>
  <c r="N47" i="12"/>
  <c r="F49" i="12"/>
  <c r="D50" i="12"/>
  <c r="O49" i="12"/>
  <c r="E49" i="12"/>
  <c r="I73" i="12"/>
  <c r="L73" i="12" s="1"/>
  <c r="H74" i="12"/>
  <c r="L35" i="12"/>
  <c r="K35" i="12"/>
  <c r="M48" i="12"/>
  <c r="L48" i="12"/>
  <c r="J35" i="12"/>
  <c r="I49" i="12"/>
  <c r="H50" i="12"/>
  <c r="J72" i="12"/>
  <c r="N72" i="12"/>
  <c r="I24" i="1"/>
  <c r="K35" i="1"/>
  <c r="E37" i="1"/>
  <c r="F37" i="1" s="1"/>
  <c r="K37" i="1" s="1"/>
  <c r="O37" i="1"/>
  <c r="D39" i="1"/>
  <c r="O38" i="1"/>
  <c r="E38" i="1"/>
  <c r="F38" i="1" s="1"/>
  <c r="L38" i="1"/>
  <c r="O25" i="1"/>
  <c r="J25" i="1"/>
  <c r="I37" i="1"/>
  <c r="I44" i="1"/>
  <c r="I43" i="1"/>
  <c r="I36" i="1"/>
  <c r="J36" i="1" s="1"/>
  <c r="I40" i="1"/>
  <c r="M40" i="1" s="1"/>
  <c r="I31" i="1"/>
  <c r="J31" i="1" s="1"/>
  <c r="I41" i="1"/>
  <c r="I34" i="1"/>
  <c r="L34" i="1" s="1"/>
  <c r="J34" i="1"/>
  <c r="I33" i="1"/>
  <c r="J33" i="1" s="1"/>
  <c r="I35" i="1"/>
  <c r="J35" i="1" s="1"/>
  <c r="I42" i="1"/>
  <c r="I32" i="1"/>
  <c r="L32" i="1" s="1"/>
  <c r="I32" i="17" l="1"/>
  <c r="K42" i="17"/>
  <c r="K41" i="17"/>
  <c r="K40" i="17"/>
  <c r="K39" i="17"/>
  <c r="K38" i="17"/>
  <c r="K37" i="17"/>
  <c r="K36" i="17"/>
  <c r="K35" i="17"/>
  <c r="K34" i="17"/>
  <c r="I50" i="20"/>
  <c r="I48" i="20"/>
  <c r="I46" i="20"/>
  <c r="I55" i="20"/>
  <c r="I52" i="20"/>
  <c r="I51" i="20"/>
  <c r="G45" i="20"/>
  <c r="I45" i="20" s="1"/>
  <c r="I54" i="20"/>
  <c r="I53" i="20"/>
  <c r="I47" i="20"/>
  <c r="I49" i="20"/>
  <c r="M38" i="20"/>
  <c r="N38" i="20" s="1"/>
  <c r="M41" i="20"/>
  <c r="N41" i="20" s="1"/>
  <c r="M34" i="20"/>
  <c r="N34" i="20" s="1"/>
  <c r="M37" i="20"/>
  <c r="N37" i="20" s="1"/>
  <c r="M33" i="20"/>
  <c r="N33" i="20" s="1"/>
  <c r="M36" i="20"/>
  <c r="N36" i="20" s="1"/>
  <c r="I31" i="20"/>
  <c r="M40" i="20"/>
  <c r="N40" i="20" s="1"/>
  <c r="M35" i="20"/>
  <c r="M39" i="20"/>
  <c r="J24" i="1"/>
  <c r="M24" i="1"/>
  <c r="M25" i="1"/>
  <c r="F32" i="17"/>
  <c r="K74" i="12"/>
  <c r="M49" i="12"/>
  <c r="L49" i="12"/>
  <c r="J49" i="12"/>
  <c r="K49" i="12"/>
  <c r="O75" i="12"/>
  <c r="E75" i="12"/>
  <c r="F75" i="12" s="1"/>
  <c r="F50" i="12"/>
  <c r="D51" i="12"/>
  <c r="O50" i="12"/>
  <c r="E50" i="12"/>
  <c r="I50" i="12"/>
  <c r="H51" i="12"/>
  <c r="I51" i="12" s="1"/>
  <c r="I74" i="12"/>
  <c r="L74" i="12" s="1"/>
  <c r="H75" i="12"/>
  <c r="I75" i="12" s="1"/>
  <c r="L75" i="12" s="1"/>
  <c r="N73" i="12"/>
  <c r="N48" i="12"/>
  <c r="L24" i="1"/>
  <c r="J32" i="1"/>
  <c r="L35" i="1"/>
  <c r="J37" i="1"/>
  <c r="M31" i="1"/>
  <c r="K38" i="1"/>
  <c r="J38" i="1"/>
  <c r="L36" i="1"/>
  <c r="M34" i="1"/>
  <c r="M42" i="1"/>
  <c r="D40" i="1"/>
  <c r="O39" i="1"/>
  <c r="E39" i="1"/>
  <c r="F39" i="1" s="1"/>
  <c r="L39" i="1"/>
  <c r="M36" i="1"/>
  <c r="L37" i="1"/>
  <c r="I26" i="1"/>
  <c r="O26" i="1"/>
  <c r="M35" i="1"/>
  <c r="M43" i="1"/>
  <c r="M33" i="1"/>
  <c r="M41" i="1"/>
  <c r="M32" i="1"/>
  <c r="M44" i="1"/>
  <c r="L31" i="1"/>
  <c r="M37" i="1"/>
  <c r="L33" i="1"/>
  <c r="K32" i="17" l="1"/>
  <c r="J32" i="17" a="1"/>
  <c r="J32" i="17" s="1"/>
  <c r="L33" i="17"/>
  <c r="K33" i="17"/>
  <c r="M31" i="20"/>
  <c r="L31" i="20" a="1"/>
  <c r="L31" i="20" s="1"/>
  <c r="J31" i="20" s="1" a="1"/>
  <c r="J31" i="20" s="1"/>
  <c r="M32" i="20"/>
  <c r="N32" i="20" s="1"/>
  <c r="M54" i="20"/>
  <c r="L54" i="20"/>
  <c r="J54" i="20"/>
  <c r="M51" i="20"/>
  <c r="L51" i="20"/>
  <c r="J51" i="20"/>
  <c r="M52" i="20"/>
  <c r="L52" i="20"/>
  <c r="J52" i="20"/>
  <c r="M49" i="20"/>
  <c r="L49" i="20"/>
  <c r="J49" i="20"/>
  <c r="L47" i="20"/>
  <c r="M47" i="20"/>
  <c r="N47" i="20" s="1"/>
  <c r="J47" i="20"/>
  <c r="M53" i="20"/>
  <c r="N53" i="20" s="1"/>
  <c r="L53" i="20"/>
  <c r="J53" i="20"/>
  <c r="M45" i="20"/>
  <c r="L45" i="20"/>
  <c r="J45" i="20"/>
  <c r="M55" i="20"/>
  <c r="N55" i="20" s="1"/>
  <c r="L55" i="20"/>
  <c r="J55" i="20"/>
  <c r="M46" i="20"/>
  <c r="L46" i="20"/>
  <c r="J46" i="20"/>
  <c r="N39" i="20"/>
  <c r="L48" i="20"/>
  <c r="M48" i="20"/>
  <c r="N48" i="20" s="1"/>
  <c r="J48" i="20"/>
  <c r="N35" i="20"/>
  <c r="M50" i="20"/>
  <c r="N50" i="20" s="1"/>
  <c r="L50" i="20"/>
  <c r="J50" i="20"/>
  <c r="N24" i="1"/>
  <c r="N23" i="1"/>
  <c r="J26" i="1"/>
  <c r="M26" i="1"/>
  <c r="K75" i="12"/>
  <c r="N75" i="12" s="1"/>
  <c r="J75" i="12"/>
  <c r="O51" i="12"/>
  <c r="E51" i="12"/>
  <c r="F51" i="12" s="1"/>
  <c r="J50" i="12"/>
  <c r="K50" i="12"/>
  <c r="N49" i="12"/>
  <c r="L51" i="12"/>
  <c r="M51" i="12"/>
  <c r="M50" i="12"/>
  <c r="L50" i="12"/>
  <c r="J74" i="12"/>
  <c r="N74" i="12"/>
  <c r="N34" i="1"/>
  <c r="N31" i="1"/>
  <c r="D41" i="1"/>
  <c r="O40" i="1"/>
  <c r="E40" i="1"/>
  <c r="F40" i="1" s="1"/>
  <c r="L40" i="1"/>
  <c r="M38" i="1"/>
  <c r="K39" i="1"/>
  <c r="J39" i="1"/>
  <c r="N33" i="1"/>
  <c r="L26" i="1"/>
  <c r="I27" i="1"/>
  <c r="M27" i="1" s="1"/>
  <c r="O27" i="1"/>
  <c r="N32" i="1"/>
  <c r="N52" i="20" l="1"/>
  <c r="N51" i="20"/>
  <c r="N46" i="20"/>
  <c r="N54" i="20"/>
  <c r="N45" i="20"/>
  <c r="N49" i="20"/>
  <c r="M5" i="20"/>
  <c r="M4" i="20"/>
  <c r="M6" i="20" s="1"/>
  <c r="N31" i="20"/>
  <c r="N26" i="1"/>
  <c r="N25" i="1"/>
  <c r="K51" i="12"/>
  <c r="N51" i="12" s="1"/>
  <c r="J51" i="12"/>
  <c r="N50" i="12"/>
  <c r="N38" i="1"/>
  <c r="N37" i="1"/>
  <c r="K40" i="1"/>
  <c r="N39" i="1" s="1"/>
  <c r="J40" i="1"/>
  <c r="D42" i="1"/>
  <c r="O41" i="1"/>
  <c r="E41" i="1"/>
  <c r="F41" i="1" s="1"/>
  <c r="L41" i="1"/>
  <c r="I28" i="1"/>
  <c r="M28" i="1" s="1"/>
  <c r="N28" i="1" s="1"/>
  <c r="O28" i="1"/>
  <c r="L27" i="1"/>
  <c r="J27" i="1"/>
  <c r="M7" i="20" l="1"/>
  <c r="M14" i="20"/>
  <c r="M8" i="20"/>
  <c r="M9" i="20"/>
  <c r="M12" i="20" s="1"/>
  <c r="N27" i="1"/>
  <c r="K41" i="1"/>
  <c r="N40" i="1" s="1"/>
  <c r="J41" i="1"/>
  <c r="D43" i="1"/>
  <c r="O42" i="1"/>
  <c r="E42" i="1"/>
  <c r="F42" i="1" s="1"/>
  <c r="L42" i="1"/>
  <c r="J28" i="1"/>
  <c r="L28" i="1"/>
  <c r="M13" i="20" l="1"/>
  <c r="M10" i="20"/>
  <c r="K42" i="1"/>
  <c r="J42" i="1"/>
  <c r="D44" i="1"/>
  <c r="O43" i="1"/>
  <c r="E43" i="1"/>
  <c r="F43" i="1" s="1"/>
  <c r="L43" i="1"/>
  <c r="K43" i="1" l="1"/>
  <c r="N42" i="1" s="1"/>
  <c r="J43" i="1"/>
  <c r="O44" i="1"/>
  <c r="E44" i="1"/>
  <c r="F44" i="1" s="1"/>
  <c r="L44" i="1"/>
  <c r="N41" i="1"/>
  <c r="K44" i="1" l="1"/>
  <c r="N44" i="1" s="1"/>
  <c r="J44" i="1"/>
  <c r="N43" i="1" l="1"/>
  <c r="L41" i="17" l="1"/>
  <c r="L38" i="17"/>
  <c r="L37" i="17"/>
  <c r="M37" i="17" s="1"/>
  <c r="L36" i="17"/>
  <c r="M36" i="17" s="1"/>
  <c r="L35" i="17"/>
  <c r="L40" i="17"/>
  <c r="L39" i="17"/>
  <c r="M39" i="17" s="1"/>
  <c r="L42" i="17"/>
  <c r="M42" i="17" s="1"/>
  <c r="L34" i="17"/>
  <c r="M40" i="17" l="1"/>
  <c r="M35" i="17"/>
  <c r="M34" i="17"/>
  <c r="M33" i="17"/>
  <c r="M38" i="17"/>
  <c r="M41" i="17"/>
  <c r="L32" i="17"/>
  <c r="M32" i="17" s="1"/>
  <c r="F17" i="17" l="1"/>
  <c r="F19" i="17" s="1"/>
  <c r="F18" i="17"/>
  <c r="F20" i="17" l="1"/>
  <c r="F26" i="17"/>
  <c r="F21" i="17"/>
  <c r="F22" i="17"/>
  <c r="F24" i="17" s="1"/>
  <c r="F25" i="17" l="1"/>
  <c r="D39" i="19"/>
  <c r="N38" i="19"/>
  <c r="N39" i="19" l="1"/>
  <c r="D40" i="19"/>
  <c r="D41" i="19" l="1"/>
  <c r="N40" i="19"/>
  <c r="D42" i="19" l="1"/>
  <c r="G32" i="19" s="1" a="1"/>
  <c r="G32" i="19" s="1"/>
  <c r="N41" i="19"/>
  <c r="E32" i="19" l="1" a="1"/>
  <c r="E32" i="19" s="1"/>
  <c r="F32" i="19" s="1" a="1"/>
  <c r="P32" i="19" a="1"/>
  <c r="P32" i="19" s="1"/>
  <c r="N42" i="19"/>
  <c r="K39" i="19" l="1"/>
  <c r="K42" i="19"/>
  <c r="K35" i="19"/>
  <c r="K37" i="19"/>
  <c r="K41" i="19"/>
  <c r="K36" i="19"/>
  <c r="K40" i="19"/>
  <c r="K34" i="19"/>
  <c r="K38" i="19"/>
  <c r="F32" i="19"/>
  <c r="K32" i="19" s="1"/>
  <c r="K33" i="19" l="1"/>
  <c r="I32" i="19" a="1"/>
  <c r="L40" i="19" l="1"/>
  <c r="L35" i="19"/>
  <c r="L37" i="19"/>
  <c r="L39" i="19"/>
  <c r="L41" i="19"/>
  <c r="L36" i="19"/>
  <c r="L38" i="19"/>
  <c r="L42" i="19"/>
  <c r="L34" i="19"/>
  <c r="M35" i="19"/>
  <c r="M38" i="19"/>
  <c r="M36" i="19"/>
  <c r="I32" i="19"/>
  <c r="L32" i="19" s="1"/>
  <c r="M42" i="19"/>
  <c r="M40" i="19"/>
  <c r="F18" i="19" l="1"/>
  <c r="L33" i="19"/>
  <c r="M33" i="19" s="1"/>
  <c r="J32" i="19" a="1"/>
  <c r="J32" i="19" s="1"/>
  <c r="M41" i="19"/>
  <c r="M34" i="19"/>
  <c r="M39" i="19"/>
  <c r="O39" i="19"/>
  <c r="M37" i="19"/>
  <c r="M32" i="19" l="1"/>
  <c r="F17" i="19"/>
  <c r="F19" i="19" s="1"/>
  <c r="F26" i="19" l="1"/>
  <c r="F20" i="19" s="1"/>
  <c r="F21" i="19"/>
  <c r="F22" i="19"/>
  <c r="F24" i="19" s="1"/>
  <c r="F25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<sst xmlns="http://schemas.openxmlformats.org/spreadsheetml/2006/main" count="444" uniqueCount="145">
  <si>
    <t>Profit</t>
  </si>
  <si>
    <t>DECISION VARIABLES</t>
  </si>
  <si>
    <t>DECISION MODELS</t>
  </si>
  <si>
    <t>Revenue</t>
  </si>
  <si>
    <t>MIX</t>
  </si>
  <si>
    <t>Total</t>
  </si>
  <si>
    <t>Labor - Perm</t>
  </si>
  <si>
    <t>Labor - Temp</t>
  </si>
  <si>
    <t>CONSTRAINTS</t>
  </si>
  <si>
    <t>%</t>
  </si>
  <si>
    <t>OUTPUT</t>
  </si>
  <si>
    <t>Field Time</t>
  </si>
  <si>
    <t>Q beds</t>
  </si>
  <si>
    <t>$/season</t>
  </si>
  <si>
    <t>variable</t>
  </si>
  <si>
    <t>fixed</t>
  </si>
  <si>
    <t>costs</t>
  </si>
  <si>
    <t>profit</t>
  </si>
  <si>
    <t>q</t>
  </si>
  <si>
    <t>revenue</t>
  </si>
  <si>
    <t>ASSUMPTIONS</t>
  </si>
  <si>
    <t>FORMULAS</t>
  </si>
  <si>
    <t>P=MC</t>
  </si>
  <si>
    <t>Temp #</t>
  </si>
  <si>
    <t>Fixed Costs</t>
  </si>
  <si>
    <t>Total Costs</t>
  </si>
  <si>
    <t>Price</t>
  </si>
  <si>
    <t>marginal cost</t>
  </si>
  <si>
    <t>midpoint labels</t>
  </si>
  <si>
    <t>GMO CORN</t>
  </si>
  <si>
    <t>ROUNDUP</t>
  </si>
  <si>
    <t>slope</t>
  </si>
  <si>
    <t>D</t>
  </si>
  <si>
    <t>MR</t>
  </si>
  <si>
    <t>Q</t>
  </si>
  <si>
    <t>marginal revenue</t>
  </si>
  <si>
    <t>GMO Corn</t>
  </si>
  <si>
    <t>nonGMO</t>
  </si>
  <si>
    <t>Acres</t>
  </si>
  <si>
    <t>million</t>
  </si>
  <si>
    <t>Share</t>
  </si>
  <si>
    <t>/bag</t>
  </si>
  <si>
    <t>bags</t>
  </si>
  <si>
    <t>Bags</t>
  </si>
  <si>
    <t>sold</t>
  </si>
  <si>
    <t>Roundup</t>
  </si>
  <si>
    <t>gal</t>
  </si>
  <si>
    <t>gal/acre</t>
  </si>
  <si>
    <t>MR=MC</t>
  </si>
  <si>
    <t>average cost</t>
  </si>
  <si>
    <t>Q*</t>
  </si>
  <si>
    <t>P*</t>
  </si>
  <si>
    <t>y-intercept</t>
  </si>
  <si>
    <t>P</t>
  </si>
  <si>
    <t>MC</t>
  </si>
  <si>
    <t>=SLOPE({0,6},{0,24})</t>
  </si>
  <si>
    <t>E 6.3</t>
  </si>
  <si>
    <t>Quantity</t>
  </si>
  <si>
    <t>Quantity (Q)</t>
  </si>
  <si>
    <t>Price (P)</t>
  </si>
  <si>
    <t>ST 6.3</t>
  </si>
  <si>
    <t>ATC</t>
  </si>
  <si>
    <t>Revenue (PxQ)</t>
  </si>
  <si>
    <t>Average Cost (ATC)</t>
  </si>
  <si>
    <t>Economic Profit (P-ATC)xQ</t>
  </si>
  <si>
    <t>Costs (ATCxQ)</t>
  </si>
  <si>
    <t>PxQ</t>
  </si>
  <si>
    <t>ATCxQ</t>
  </si>
  <si>
    <t>(P-ATC)xQ</t>
  </si>
  <si>
    <t>Marginal Revenue</t>
  </si>
  <si>
    <t>Marginal Cost</t>
  </si>
  <si>
    <t>mc</t>
  </si>
  <si>
    <t>increment</t>
  </si>
  <si>
    <t>Costs</t>
  </si>
  <si>
    <t>Perfect</t>
  </si>
  <si>
    <t>Imperfect</t>
  </si>
  <si>
    <t>Average Total Cost (ATC</t>
  </si>
  <si>
    <t>Marginal Revenue (MR</t>
  </si>
  <si>
    <t>Marginal Cost (MC</t>
  </si>
  <si>
    <t>Total Cost</t>
  </si>
  <si>
    <t>Variable Cost</t>
  </si>
  <si>
    <t>Fixed Cost</t>
  </si>
  <si>
    <t>P=</t>
  </si>
  <si>
    <t>MC=</t>
  </si>
  <si>
    <t>ATC=</t>
  </si>
  <si>
    <t>Q=</t>
  </si>
  <si>
    <t>TC=</t>
  </si>
  <si>
    <t>TR=</t>
  </si>
  <si>
    <t>Profit=</t>
  </si>
  <si>
    <t>Scenario 1</t>
  </si>
  <si>
    <t>Scenario 2</t>
  </si>
  <si>
    <t>Scenario 3</t>
  </si>
  <si>
    <t>= ATC * Q</t>
  </si>
  <si>
    <t>= P * Q</t>
  </si>
  <si>
    <t>= (P - ATC) * Q</t>
  </si>
  <si>
    <t>Q^</t>
  </si>
  <si>
    <t>P^</t>
  </si>
  <si>
    <t>&lt;-- P at Q^</t>
  </si>
  <si>
    <t>nonGMO Corn</t>
  </si>
  <si>
    <t>Slope D GMO Corn</t>
  </si>
  <si>
    <t>Slope MR GMO Corn</t>
  </si>
  <si>
    <t>200+30Q</t>
  </si>
  <si>
    <t>𝑇C/𝑄</t>
  </si>
  <si>
    <t>∆𝑇C/∆𝑄</t>
  </si>
  <si>
    <t>Total gal</t>
  </si>
  <si>
    <t>MC equation</t>
  </si>
  <si>
    <t>(P - ATC) x Q</t>
  </si>
  <si>
    <t>slopeMC=</t>
  </si>
  <si>
    <t>interceptMC=</t>
  </si>
  <si>
    <t>Optimal Output=</t>
  </si>
  <si>
    <t>FC=</t>
  </si>
  <si>
    <t>MC @ opt=</t>
  </si>
  <si>
    <t>Revenue @ opt=</t>
  </si>
  <si>
    <t>ATC @ opt=</t>
  </si>
  <si>
    <t>TC @ opt=</t>
  </si>
  <si>
    <t>Profit @ opt=</t>
  </si>
  <si>
    <t>linear variable costs (aQ)</t>
  </si>
  <si>
    <t>bQ²  per million</t>
  </si>
  <si>
    <t>TVC (Diminishing Returns)</t>
  </si>
  <si>
    <t>incr. marginal costs (bQ² )</t>
  </si>
  <si>
    <t>acre</t>
  </si>
  <si>
    <t>Gallons</t>
  </si>
  <si>
    <t>Estimates</t>
  </si>
  <si>
    <t>per</t>
  </si>
  <si>
    <t>helpers (ignore)</t>
  </si>
  <si>
    <t>Demand</t>
  </si>
  <si>
    <t>D Int</t>
  </si>
  <si>
    <t>Slope D GMO Corn @ 1m</t>
  </si>
  <si>
    <t>MR @ opt=</t>
  </si>
  <si>
    <t>MR Int</t>
  </si>
  <si>
    <t>Price @ opt</t>
  </si>
  <si>
    <t>Opt. Output</t>
  </si>
  <si>
    <t>Slope D Corn</t>
  </si>
  <si>
    <t>Slope MR Corn</t>
  </si>
  <si>
    <t>Slope D Corn @ 1m</t>
  </si>
  <si>
    <t>∆𝑇R/∆𝑄</t>
  </si>
  <si>
    <t>Optimal</t>
  </si>
  <si>
    <t>VC + FC</t>
  </si>
  <si>
    <t>P x Q</t>
  </si>
  <si>
    <t>↓</t>
  </si>
  <si>
    <t>TVC + TFC</t>
  </si>
  <si>
    <t>MR helper</t>
  </si>
  <si>
    <t>TR - TC</t>
  </si>
  <si>
    <t>TVC</t>
  </si>
  <si>
    <t>TFC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</si>
</sst>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?_);_(@_)"/>
    <numFmt numFmtId="167" formatCode="_(&quot;$&quot;* #,##0.0_);_(&quot;$&quot;* \(#,##0.0\);_(&quot;$&quot;* &quot;-&quot;??_);_(@_)"/>
    <numFmt numFmtId="168" formatCode="_(* #,##0.00000_);_(* \(#,##0.00000\);_(* &quot;-&quot;??_);_(@_)"/>
    <numFmt numFmtId="169" formatCode="_(* #,##0.0000000_);_(* \(#,##0.0000000\);_(* &quot;-&quot;??_);_(@_)"/>
    <numFmt numFmtId="170" formatCode="_(* #,##0.00000000_);_(* \(#,##0.00000000\);_(* &quot;-&quot;??_);_(@_)"/>
    <numFmt numFmtId="171" formatCode="_(* #,##0.000000_);_(* \(#,##0.000000\);_(* &quot;-&quot;??_);_(@_)"/>
    <numFmt numFmtId="172" formatCode="_(&quot;$&quot;* #,##0.00000_);_(&quot;$&quot;* \(#,##0.00000\);_(&quot;$&quot;* &quot;-&quot;??_);_(@_)"/>
    <numFmt numFmtId="173" formatCode="_(&quot;$&quot;* #,##0.0000000_);_(&quot;$&quot;* \(#,##0.000000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ptos Narrow"/>
      <family val="2"/>
    </font>
    <font>
      <sz val="12"/>
      <color rgb="FFFF0000"/>
      <name val="Aptos Narrow"/>
      <family val="2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2" fillId="5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64" fontId="0" fillId="2" borderId="0" xfId="1" applyNumberFormat="1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9" fontId="4" fillId="3" borderId="2" xfId="0" applyNumberFormat="1" applyFont="1" applyFill="1" applyBorder="1" applyAlignment="1">
      <alignment vertical="center"/>
    </xf>
    <xf numFmtId="165" fontId="0" fillId="3" borderId="2" xfId="2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right" vertical="center"/>
    </xf>
    <xf numFmtId="165" fontId="7" fillId="2" borderId="1" xfId="2" applyNumberFormat="1" applyFont="1" applyFill="1" applyBorder="1" applyAlignment="1">
      <alignment horizontal="right" vertical="center"/>
    </xf>
    <xf numFmtId="43" fontId="7" fillId="2" borderId="1" xfId="1" applyFont="1" applyFill="1" applyBorder="1" applyAlignment="1">
      <alignment horizontal="right" vertical="center"/>
    </xf>
    <xf numFmtId="165" fontId="7" fillId="7" borderId="1" xfId="2" applyNumberFormat="1" applyFont="1" applyFill="1" applyBorder="1" applyAlignment="1">
      <alignment horizontal="right" vertical="center"/>
    </xf>
    <xf numFmtId="43" fontId="3" fillId="7" borderId="1" xfId="1" applyFont="1" applyFill="1" applyBorder="1" applyAlignment="1">
      <alignment horizontal="right" vertical="center"/>
    </xf>
    <xf numFmtId="43" fontId="0" fillId="2" borderId="0" xfId="0" applyNumberFormat="1" applyFill="1" applyAlignment="1">
      <alignment vertical="center"/>
    </xf>
    <xf numFmtId="165" fontId="3" fillId="2" borderId="1" xfId="2" applyNumberFormat="1" applyFont="1" applyFill="1" applyBorder="1" applyAlignment="1">
      <alignment horizontal="right" vertical="center"/>
    </xf>
    <xf numFmtId="43" fontId="3" fillId="2" borderId="1" xfId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8" fillId="6" borderId="1" xfId="2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8" fillId="6" borderId="0" xfId="2" applyNumberFormat="1" applyFont="1" applyFill="1" applyBorder="1" applyAlignment="1">
      <alignment horizontal="right" vertical="center"/>
    </xf>
    <xf numFmtId="165" fontId="7" fillId="7" borderId="0" xfId="2" applyNumberFormat="1" applyFont="1" applyFill="1" applyBorder="1" applyAlignment="1">
      <alignment horizontal="right" vertical="center"/>
    </xf>
    <xf numFmtId="164" fontId="0" fillId="4" borderId="1" xfId="1" applyNumberFormat="1" applyFont="1" applyFill="1" applyBorder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  <xf numFmtId="44" fontId="7" fillId="2" borderId="1" xfId="2" applyFont="1" applyFill="1" applyBorder="1" applyAlignment="1">
      <alignment horizontal="right" vertical="center"/>
    </xf>
    <xf numFmtId="44" fontId="3" fillId="7" borderId="1" xfId="2" applyFont="1" applyFill="1" applyBorder="1" applyAlignment="1">
      <alignment horizontal="right" vertical="center"/>
    </xf>
    <xf numFmtId="9" fontId="0" fillId="2" borderId="0" xfId="0" applyNumberFormat="1" applyFill="1" applyAlignment="1">
      <alignment vertical="center"/>
    </xf>
    <xf numFmtId="44" fontId="0" fillId="2" borderId="0" xfId="2" applyFont="1" applyFill="1" applyAlignment="1">
      <alignment vertical="center"/>
    </xf>
    <xf numFmtId="44" fontId="7" fillId="7" borderId="1" xfId="2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0" fontId="0" fillId="4" borderId="2" xfId="0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44" fontId="3" fillId="2" borderId="1" xfId="2" applyFont="1" applyFill="1" applyBorder="1" applyAlignment="1">
      <alignment horizontal="right" vertical="center"/>
    </xf>
    <xf numFmtId="167" fontId="3" fillId="2" borderId="1" xfId="2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right" vertical="center"/>
    </xf>
    <xf numFmtId="165" fontId="11" fillId="3" borderId="1" xfId="2" applyNumberFormat="1" applyFont="1" applyFill="1" applyBorder="1" applyAlignment="1">
      <alignment horizontal="right" vertical="center"/>
    </xf>
    <xf numFmtId="165" fontId="11" fillId="2" borderId="1" xfId="2" applyNumberFormat="1" applyFont="1" applyFill="1" applyBorder="1" applyAlignment="1">
      <alignment horizontal="right" vertical="center"/>
    </xf>
    <xf numFmtId="165" fontId="12" fillId="2" borderId="1" xfId="2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165" fontId="10" fillId="2" borderId="0" xfId="0" applyNumberFormat="1" applyFont="1" applyFill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7" fillId="6" borderId="2" xfId="0" applyFont="1" applyFill="1" applyBorder="1" applyAlignment="1">
      <alignment vertical="center"/>
    </xf>
    <xf numFmtId="44" fontId="7" fillId="6" borderId="2" xfId="2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43" fontId="7" fillId="6" borderId="2" xfId="1" applyFont="1" applyFill="1" applyBorder="1" applyAlignment="1">
      <alignment vertical="center"/>
    </xf>
    <xf numFmtId="0" fontId="2" fillId="4" borderId="2" xfId="0" applyFont="1" applyFill="1" applyBorder="1" applyAlignment="1">
      <alignment horizontal="right" vertical="center"/>
    </xf>
    <xf numFmtId="0" fontId="2" fillId="4" borderId="3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9" fontId="0" fillId="2" borderId="0" xfId="3" applyFont="1" applyFill="1" applyAlignment="1">
      <alignment vertical="center"/>
    </xf>
    <xf numFmtId="44" fontId="0" fillId="4" borderId="1" xfId="2" applyFont="1" applyFill="1" applyBorder="1" applyAlignment="1">
      <alignment horizontal="right" vertical="center"/>
    </xf>
    <xf numFmtId="165" fontId="0" fillId="4" borderId="1" xfId="2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0" fillId="2" borderId="0" xfId="0" applyFill="1"/>
    <xf numFmtId="165" fontId="15" fillId="2" borderId="0" xfId="2" applyNumberFormat="1" applyFont="1" applyFill="1"/>
    <xf numFmtId="165" fontId="0" fillId="3" borderId="0" xfId="2" applyNumberFormat="1" applyFont="1" applyFill="1"/>
    <xf numFmtId="0" fontId="0" fillId="3" borderId="0" xfId="0" applyFill="1"/>
    <xf numFmtId="0" fontId="2" fillId="2" borderId="0" xfId="0" applyFont="1" applyFill="1"/>
    <xf numFmtId="0" fontId="0" fillId="2" borderId="0" xfId="0" quotePrefix="1" applyFill="1"/>
    <xf numFmtId="44" fontId="17" fillId="2" borderId="1" xfId="2" applyFont="1" applyFill="1" applyBorder="1" applyAlignment="1">
      <alignment horizontal="right" vertical="center"/>
    </xf>
    <xf numFmtId="165" fontId="17" fillId="2" borderId="1" xfId="2" applyNumberFormat="1" applyFont="1" applyFill="1" applyBorder="1" applyAlignment="1">
      <alignment horizontal="right" vertical="center"/>
    </xf>
    <xf numFmtId="165" fontId="0" fillId="2" borderId="0" xfId="2" applyNumberFormat="1" applyFont="1" applyFill="1" applyAlignment="1">
      <alignment vertical="center"/>
    </xf>
    <xf numFmtId="169" fontId="0" fillId="2" borderId="0" xfId="1" applyNumberFormat="1" applyFont="1" applyFill="1" applyAlignment="1">
      <alignment vertical="center"/>
    </xf>
    <xf numFmtId="170" fontId="0" fillId="2" borderId="0" xfId="1" applyNumberFormat="1" applyFont="1" applyFill="1" applyAlignment="1">
      <alignment vertical="center"/>
    </xf>
    <xf numFmtId="170" fontId="0" fillId="2" borderId="0" xfId="0" applyNumberFormat="1" applyFill="1" applyAlignment="1">
      <alignment vertical="center"/>
    </xf>
    <xf numFmtId="44" fontId="0" fillId="2" borderId="0" xfId="0" applyNumberFormat="1" applyFill="1" applyAlignment="1">
      <alignment vertical="center"/>
    </xf>
    <xf numFmtId="0" fontId="15" fillId="2" borderId="0" xfId="0" applyFont="1" applyFill="1" applyAlignment="1">
      <alignment vertical="center"/>
    </xf>
    <xf numFmtId="164" fontId="15" fillId="2" borderId="0" xfId="1" applyNumberFormat="1" applyFont="1" applyFill="1" applyAlignment="1">
      <alignment vertical="center"/>
    </xf>
    <xf numFmtId="165" fontId="4" fillId="3" borderId="1" xfId="2" applyNumberFormat="1" applyFont="1" applyFill="1" applyBorder="1" applyAlignment="1">
      <alignment horizontal="right" vertical="center"/>
    </xf>
    <xf numFmtId="9" fontId="3" fillId="2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2" fontId="0" fillId="3" borderId="0" xfId="0" applyNumberFormat="1" applyFill="1" applyAlignment="1">
      <alignment vertical="center"/>
    </xf>
    <xf numFmtId="168" fontId="3" fillId="2" borderId="0" xfId="1" applyNumberFormat="1" applyFont="1" applyFill="1" applyAlignment="1">
      <alignment vertical="center"/>
    </xf>
    <xf numFmtId="165" fontId="3" fillId="2" borderId="0" xfId="0" applyNumberFormat="1" applyFont="1" applyFill="1" applyAlignment="1">
      <alignment horizontal="right" vertical="center"/>
    </xf>
    <xf numFmtId="44" fontId="3" fillId="2" borderId="0" xfId="2" applyFont="1" applyFill="1" applyAlignment="1">
      <alignment vertical="center"/>
    </xf>
    <xf numFmtId="165" fontId="3" fillId="7" borderId="1" xfId="2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165" fontId="3" fillId="2" borderId="0" xfId="2" applyNumberFormat="1" applyFont="1" applyFill="1" applyAlignment="1">
      <alignment vertical="center"/>
    </xf>
    <xf numFmtId="0" fontId="2" fillId="6" borderId="0" xfId="0" applyFont="1" applyFill="1" applyAlignment="1">
      <alignment horizontal="right" vertical="center"/>
    </xf>
    <xf numFmtId="164" fontId="7" fillId="6" borderId="0" xfId="1" applyNumberFormat="1" applyFont="1" applyFill="1" applyAlignment="1">
      <alignment vertical="center"/>
    </xf>
    <xf numFmtId="165" fontId="3" fillId="6" borderId="0" xfId="2" applyNumberFormat="1" applyFont="1" applyFill="1" applyAlignment="1">
      <alignment vertical="center"/>
    </xf>
    <xf numFmtId="165" fontId="0" fillId="3" borderId="0" xfId="2" applyNumberFormat="1" applyFont="1" applyFill="1" applyAlignment="1">
      <alignment vertical="center"/>
    </xf>
    <xf numFmtId="172" fontId="0" fillId="3" borderId="0" xfId="2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166" fontId="3" fillId="2" borderId="1" xfId="1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43" fontId="15" fillId="2" borderId="0" xfId="1" applyFont="1" applyFill="1" applyAlignment="1">
      <alignment vertical="center"/>
    </xf>
    <xf numFmtId="0" fontId="0" fillId="10" borderId="0" xfId="0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171" fontId="3" fillId="2" borderId="0" xfId="1" applyNumberFormat="1" applyFont="1" applyFill="1" applyAlignment="1">
      <alignment vertical="center"/>
    </xf>
    <xf numFmtId="44" fontId="0" fillId="3" borderId="0" xfId="2" applyFont="1" applyFill="1" applyAlignment="1">
      <alignment vertical="center"/>
    </xf>
    <xf numFmtId="169" fontId="3" fillId="2" borderId="0" xfId="1" applyNumberFormat="1" applyFont="1" applyFill="1" applyAlignment="1">
      <alignment vertical="center"/>
    </xf>
    <xf numFmtId="173" fontId="3" fillId="2" borderId="0" xfId="2" applyNumberFormat="1" applyFont="1" applyFill="1" applyAlignment="1">
      <alignment vertical="center"/>
    </xf>
    <xf numFmtId="169" fontId="0" fillId="2" borderId="0" xfId="0" applyNumberFormat="1" applyFill="1" applyAlignment="1">
      <alignment vertical="center"/>
    </xf>
    <xf numFmtId="170" fontId="3" fillId="2" borderId="0" xfId="1" applyNumberFormat="1" applyFont="1" applyFill="1" applyAlignment="1">
      <alignment vertical="center"/>
    </xf>
    <xf numFmtId="165" fontId="0" fillId="3" borderId="0" xfId="2" applyNumberFormat="1" applyFont="1" applyFill="1" applyBorder="1" applyAlignment="1">
      <alignment vertical="center"/>
    </xf>
    <xf numFmtId="164" fontId="15" fillId="2" borderId="0" xfId="1" applyNumberFormat="1" applyFont="1" applyFill="1" applyBorder="1" applyAlignment="1">
      <alignment vertical="center"/>
    </xf>
    <xf numFmtId="0" fontId="2" fillId="6" borderId="9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vertical="center"/>
    </xf>
    <xf numFmtId="0" fontId="2" fillId="6" borderId="11" xfId="0" applyFont="1" applyFill="1" applyBorder="1" applyAlignment="1">
      <alignment horizontal="right" vertical="center"/>
    </xf>
    <xf numFmtId="44" fontId="3" fillId="2" borderId="13" xfId="2" applyFont="1" applyFill="1" applyBorder="1" applyAlignment="1">
      <alignment vertical="center"/>
    </xf>
    <xf numFmtId="164" fontId="7" fillId="6" borderId="13" xfId="1" applyNumberFormat="1" applyFont="1" applyFill="1" applyBorder="1" applyAlignment="1">
      <alignment vertical="center"/>
    </xf>
    <xf numFmtId="165" fontId="3" fillId="2" borderId="13" xfId="2" applyNumberFormat="1" applyFont="1" applyFill="1" applyBorder="1" applyAlignment="1">
      <alignment vertical="center"/>
    </xf>
    <xf numFmtId="165" fontId="3" fillId="6" borderId="13" xfId="2" applyNumberFormat="1" applyFont="1" applyFill="1" applyBorder="1" applyAlignment="1">
      <alignment vertical="center"/>
    </xf>
    <xf numFmtId="165" fontId="3" fillId="6" borderId="14" xfId="2" applyNumberFormat="1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9" fontId="3" fillId="2" borderId="12" xfId="1" applyNumberFormat="1" applyFont="1" applyFill="1" applyBorder="1" applyAlignment="1">
      <alignment vertical="center"/>
    </xf>
    <xf numFmtId="171" fontId="3" fillId="2" borderId="13" xfId="1" applyNumberFormat="1" applyFont="1" applyFill="1" applyBorder="1" applyAlignment="1">
      <alignment vertical="center"/>
    </xf>
    <xf numFmtId="165" fontId="0" fillId="3" borderId="13" xfId="2" applyNumberFormat="1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44" fontId="0" fillId="3" borderId="14" xfId="2" applyFont="1" applyFill="1" applyBorder="1" applyAlignment="1">
      <alignment vertical="center"/>
    </xf>
    <xf numFmtId="165" fontId="0" fillId="3" borderId="12" xfId="2" applyNumberFormat="1" applyFont="1" applyFill="1" applyBorder="1" applyAlignment="1">
      <alignment vertical="center"/>
    </xf>
    <xf numFmtId="173" fontId="3" fillId="2" borderId="13" xfId="2" applyNumberFormat="1" applyFont="1" applyFill="1" applyBorder="1" applyAlignment="1">
      <alignment vertical="center"/>
    </xf>
    <xf numFmtId="172" fontId="0" fillId="3" borderId="14" xfId="2" applyNumberFormat="1" applyFont="1" applyFill="1" applyBorder="1" applyAlignment="1">
      <alignment vertical="center"/>
    </xf>
    <xf numFmtId="0" fontId="0" fillId="5" borderId="9" xfId="0" applyFill="1" applyBorder="1" applyAlignment="1">
      <alignment vertical="center"/>
    </xf>
    <xf numFmtId="43" fontId="15" fillId="2" borderId="0" xfId="0" applyNumberFormat="1" applyFont="1" applyFill="1" applyAlignment="1">
      <alignment vertical="center"/>
    </xf>
    <xf numFmtId="0" fontId="2" fillId="5" borderId="9" xfId="0" applyFont="1" applyFill="1" applyBorder="1" applyAlignment="1">
      <alignment horizontal="right" vertical="center"/>
    </xf>
    <xf numFmtId="0" fontId="2" fillId="5" borderId="9" xfId="0" applyFont="1" applyFill="1" applyBorder="1" applyAlignment="1">
      <alignment vertical="center"/>
    </xf>
    <xf numFmtId="43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43" fontId="18" fillId="2" borderId="0" xfId="0" applyNumberFormat="1" applyFont="1" applyFill="1" applyAlignment="1">
      <alignment horizontal="center" vertical="center"/>
    </xf>
    <xf numFmtId="170" fontId="3" fillId="2" borderId="12" xfId="1" applyNumberFormat="1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43" fontId="19" fillId="2" borderId="0" xfId="0" applyNumberFormat="1" applyFont="1" applyFill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4" fontId="20" fillId="4" borderId="1" xfId="1" applyNumberFormat="1" applyFont="1" applyFill="1" applyBorder="1" applyAlignment="1">
      <alignment horizontal="right" vertical="center"/>
    </xf>
    <xf numFmtId="165" fontId="20" fillId="2" borderId="1" xfId="2" applyNumberFormat="1" applyFont="1" applyFill="1" applyBorder="1" applyAlignment="1">
      <alignment horizontal="right" vertical="center"/>
    </xf>
    <xf numFmtId="165" fontId="21" fillId="2" borderId="1" xfId="2" applyNumberFormat="1" applyFont="1" applyFill="1" applyBorder="1" applyAlignment="1">
      <alignment horizontal="right" vertical="center"/>
    </xf>
    <xf numFmtId="165" fontId="20" fillId="3" borderId="1" xfId="2" applyNumberFormat="1" applyFont="1" applyFill="1" applyBorder="1" applyAlignment="1">
      <alignment horizontal="right" vertical="center"/>
    </xf>
    <xf numFmtId="165" fontId="20" fillId="7" borderId="1" xfId="2" applyNumberFormat="1" applyFont="1" applyFill="1" applyBorder="1" applyAlignment="1">
      <alignment horizontal="right" vertical="center"/>
    </xf>
    <xf numFmtId="166" fontId="20" fillId="2" borderId="1" xfId="1" applyNumberFormat="1" applyFont="1" applyFill="1" applyBorder="1" applyAlignment="1">
      <alignment horizontal="left" vertical="center"/>
    </xf>
    <xf numFmtId="164" fontId="20" fillId="2" borderId="1" xfId="1" applyNumberFormat="1" applyFont="1" applyFill="1" applyBorder="1" applyAlignment="1">
      <alignment horizontal="right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1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 6.3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 6.3'!$C$14:$C$18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cat>
          <c:val>
            <c:numRef>
              <c:f>'ST 6.3'!$D$14:$D$18</c:f>
              <c:numCache>
                <c:formatCode>_("$"* #,##0.00_);_("$"* \(#,##0.00\);_("$"* "-"??_);_(@_)</c:formatCode>
                <c:ptCount val="5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A-4139-85D1-08C9A000D48C}"/>
            </c:ext>
          </c:extLst>
        </c:ser>
        <c:ser>
          <c:idx val="1"/>
          <c:order val="1"/>
          <c:tx>
            <c:v>MC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 6.3'!$C$14:$C$18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cat>
          <c:val>
            <c:numRef>
              <c:f>'ST 6.3'!$G$14:$G$18</c:f>
              <c:numCache>
                <c:formatCode>_("$"* #,##0_);_("$"* \(#,##0\);_("$"* "-"??_);_(@_)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A-4139-85D1-08C9A000D48C}"/>
            </c:ext>
          </c:extLst>
        </c:ser>
        <c:ser>
          <c:idx val="2"/>
          <c:order val="2"/>
          <c:tx>
            <c:v>MR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 6.3'!$C$14:$C$18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cat>
          <c:val>
            <c:numRef>
              <c:f>'ST 6.3'!$F$14:$F$18</c:f>
              <c:numCache>
                <c:formatCode>_("$"* #,##0.0_);_("$"* \(#,##0.0\);_("$"* "-"??_);_(@_)</c:formatCode>
                <c:ptCount val="5"/>
                <c:pt idx="0">
                  <c:v>8</c:v>
                </c:pt>
                <c:pt idx="1">
                  <c:v>4</c:v>
                </c:pt>
                <c:pt idx="2">
                  <c:v>0</c:v>
                </c:pt>
                <c:pt idx="3">
                  <c:v>-4</c:v>
                </c:pt>
                <c:pt idx="4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0A-4139-85D1-08C9A000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025152"/>
        <c:axId val="205465968"/>
      </c:lineChart>
      <c:catAx>
        <c:axId val="2019025152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65968"/>
        <c:crosses val="autoZero"/>
        <c:auto val="1"/>
        <c:lblAlgn val="ctr"/>
        <c:lblOffset val="100"/>
        <c:noMultiLvlLbl val="0"/>
      </c:catAx>
      <c:valAx>
        <c:axId val="205465968"/>
        <c:scaling>
          <c:orientation val="minMax"/>
          <c:max val="8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2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 6.3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 6.3'!$C$14:$C$18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f>'E 6.3'!$D$14:$D$18</c:f>
              <c:numCache>
                <c:formatCode>_(* #,##0_);_(* \(#,##0\);_(* "-"??_);_(@_)</c:formatCode>
                <c:ptCount val="5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F-41AA-8A41-D6EF530AB800}"/>
            </c:ext>
          </c:extLst>
        </c:ser>
        <c:ser>
          <c:idx val="1"/>
          <c:order val="1"/>
          <c:tx>
            <c:v>MC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 6.3'!$C$14:$C$18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f>'E 6.3'!$G$14:$G$18</c:f>
              <c:numCache>
                <c:formatCode>_("$"* #,##0_);_("$"* \(#,##0\);_("$"* "-"??_);_(@_)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F-41AA-8A41-D6EF530AB800}"/>
            </c:ext>
          </c:extLst>
        </c:ser>
        <c:ser>
          <c:idx val="2"/>
          <c:order val="2"/>
          <c:tx>
            <c:v>MR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 6.3'!$C$14:$C$18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</c:numCache>
            </c:numRef>
          </c:cat>
          <c:val>
            <c:numRef>
              <c:f>'E 6.3'!$F$14:$F$18</c:f>
              <c:numCache>
                <c:formatCode>_("$"* #,##0.0_);_("$"* \(#,##0.0\);_("$"* "-"??_);_(@_)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F-41AA-8A41-D6EF530AB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025152"/>
        <c:axId val="205465968"/>
      </c:lineChart>
      <c:catAx>
        <c:axId val="2019025152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65968"/>
        <c:crosses val="autoZero"/>
        <c:auto val="1"/>
        <c:lblAlgn val="ctr"/>
        <c:lblOffset val="100"/>
        <c:noMultiLvlLbl val="0"/>
      </c:catAx>
      <c:valAx>
        <c:axId val="205465968"/>
        <c:scaling>
          <c:orientation val="minMax"/>
          <c:max val="8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2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Marginal cost - GMO Corn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Corn!$L$31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Corn!$N$33:$N$42</c:f>
              <c:numCache>
                <c:formatCode>_(* #,##0_);_(* \(#,##0\);_(* "-"??_);_(@_)</c:formatCode>
                <c:ptCount val="10"/>
                <c:pt idx="0">
                  <c:v>2500000</c:v>
                </c:pt>
                <c:pt idx="1">
                  <c:v>7500000</c:v>
                </c:pt>
                <c:pt idx="2">
                  <c:v>12500000</c:v>
                </c:pt>
                <c:pt idx="3">
                  <c:v>17500000</c:v>
                </c:pt>
                <c:pt idx="4">
                  <c:v>22500000</c:v>
                </c:pt>
                <c:pt idx="5">
                  <c:v>27500000</c:v>
                </c:pt>
                <c:pt idx="6">
                  <c:v>32500000</c:v>
                </c:pt>
                <c:pt idx="7">
                  <c:v>37500000</c:v>
                </c:pt>
                <c:pt idx="8">
                  <c:v>42500000</c:v>
                </c:pt>
                <c:pt idx="9">
                  <c:v>47500000</c:v>
                </c:pt>
              </c:numCache>
            </c:numRef>
          </c:cat>
          <c:val>
            <c:numRef>
              <c:f>Corn!$L$33</c:f>
              <c:numCache>
                <c:formatCode>_("$"* #,##0_);_("$"* \(#,##0\);_("$"* "-"??_);_(@_)</c:formatCode>
                <c:ptCount val="1"/>
                <c:pt idx="0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6-4050-9EB1-F551BCADF697}"/>
            </c:ext>
          </c:extLst>
        </c:ser>
        <c:ser>
          <c:idx val="0"/>
          <c:order val="1"/>
          <c:tx>
            <c:strRef>
              <c:f>Corn!$E$31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Corn!$N$33:$N$42</c:f>
              <c:numCache>
                <c:formatCode>_(* #,##0_);_(* \(#,##0\);_(* "-"??_);_(@_)</c:formatCode>
                <c:ptCount val="10"/>
                <c:pt idx="0">
                  <c:v>2500000</c:v>
                </c:pt>
                <c:pt idx="1">
                  <c:v>7500000</c:v>
                </c:pt>
                <c:pt idx="2">
                  <c:v>12500000</c:v>
                </c:pt>
                <c:pt idx="3">
                  <c:v>17500000</c:v>
                </c:pt>
                <c:pt idx="4">
                  <c:v>22500000</c:v>
                </c:pt>
                <c:pt idx="5">
                  <c:v>27500000</c:v>
                </c:pt>
                <c:pt idx="6">
                  <c:v>32500000</c:v>
                </c:pt>
                <c:pt idx="7">
                  <c:v>37500000</c:v>
                </c:pt>
                <c:pt idx="8">
                  <c:v>42500000</c:v>
                </c:pt>
                <c:pt idx="9">
                  <c:v>47500000</c:v>
                </c:pt>
              </c:numCache>
            </c:numRef>
          </c:cat>
          <c:val>
            <c:numRef>
              <c:f>Corn!$E$33:$E$42</c:f>
              <c:numCache>
                <c:formatCode>_("$"* #,##0_);_("$"* \(#,##0\);_("$"* "-"??_);_(@_)</c:formatCode>
                <c:ptCount val="1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6-4050-9EB1-F551BCAD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 = F + MxQ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Corn!$I$31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Corn!$D$32:$D$42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Corn!$I$32:$I$42</c:f>
              <c:numCache>
                <c:formatCode>_("$"* #,##0_);_("$"* \(#,##0\);_("$"* "-"??_);_(@_)</c:formatCode>
                <c:ptCount val="11"/>
                <c:pt idx="0">
                  <c:v>130000000</c:v>
                </c:pt>
                <c:pt idx="1">
                  <c:v>510000000</c:v>
                </c:pt>
                <c:pt idx="2">
                  <c:v>1640000000</c:v>
                </c:pt>
                <c:pt idx="3">
                  <c:v>3520000000</c:v>
                </c:pt>
                <c:pt idx="4">
                  <c:v>6150000000</c:v>
                </c:pt>
                <c:pt idx="5">
                  <c:v>9530000000</c:v>
                </c:pt>
                <c:pt idx="6">
                  <c:v>13660000000</c:v>
                </c:pt>
                <c:pt idx="7">
                  <c:v>18540000000</c:v>
                </c:pt>
                <c:pt idx="8">
                  <c:v>24170000000</c:v>
                </c:pt>
                <c:pt idx="9">
                  <c:v>30550000000</c:v>
                </c:pt>
                <c:pt idx="10">
                  <c:v>37680000000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D-4062-972D-53A26C001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ATC = F/Q +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Corn!#REF!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Corn!$D$33:$D$42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Corn!#REF!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7-4ED6-A6C4-4664394DAFE3}"/>
            </c:ext>
          </c:extLst>
        </c:ser>
        <c:ser>
          <c:idx val="1"/>
          <c:order val="1"/>
          <c:tx>
            <c:strRef>
              <c:f>Corn!$L$31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Corn!$D$33:$D$42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Corn!$L$33:$L$42</c:f>
              <c:numCache>
                <c:formatCode>_("$"* #,##0_);_("$"* \(#,##0\);_("$"* "-"??_);_(@_)</c:formatCode>
                <c:ptCount val="10"/>
                <c:pt idx="0">
                  <c:v>76</c:v>
                </c:pt>
                <c:pt idx="1">
                  <c:v>226</c:v>
                </c:pt>
                <c:pt idx="2">
                  <c:v>376</c:v>
                </c:pt>
                <c:pt idx="3">
                  <c:v>526</c:v>
                </c:pt>
                <c:pt idx="4">
                  <c:v>676</c:v>
                </c:pt>
                <c:pt idx="5">
                  <c:v>826</c:v>
                </c:pt>
                <c:pt idx="6">
                  <c:v>976</c:v>
                </c:pt>
                <c:pt idx="7">
                  <c:v>1126</c:v>
                </c:pt>
                <c:pt idx="8">
                  <c:v>1276</c:v>
                </c:pt>
                <c:pt idx="9">
                  <c:v>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7-4ED6-A6C4-4664394DA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Corn (Perfect</a:t>
            </a:r>
            <a:r>
              <a:rPr lang="en-US" b="1" baseline="0"/>
              <a:t> Competition)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Corn!$D$32:$D$42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Corn!$E$32:$E$42</c:f>
              <c:numCache>
                <c:formatCode>_("$"* #,##0_);_("$"* \(#,##0\);_("$"* "-"??_);_(@_)</c:formatCode>
                <c:ptCount val="1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F-4829-8FF8-B2F87C8B5D35}"/>
            </c:ext>
          </c:extLst>
        </c:ser>
        <c:ser>
          <c:idx val="1"/>
          <c:order val="1"/>
          <c:tx>
            <c:strRef>
              <c:f>Corn!$L$31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Corn!$D$32:$D$42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Corn!$L$32:$L$42</c:f>
              <c:numCache>
                <c:formatCode>_("$"* #,##0_);_("$"* \(#,##0\);_("$"* "-"??_);_(@_)</c:formatCode>
                <c:ptCount val="11"/>
                <c:pt idx="0">
                  <c:v>0</c:v>
                </c:pt>
                <c:pt idx="1">
                  <c:v>76</c:v>
                </c:pt>
                <c:pt idx="2">
                  <c:v>226</c:v>
                </c:pt>
                <c:pt idx="3">
                  <c:v>376</c:v>
                </c:pt>
                <c:pt idx="4">
                  <c:v>526</c:v>
                </c:pt>
                <c:pt idx="5">
                  <c:v>676</c:v>
                </c:pt>
                <c:pt idx="6">
                  <c:v>826</c:v>
                </c:pt>
                <c:pt idx="7">
                  <c:v>976</c:v>
                </c:pt>
                <c:pt idx="8">
                  <c:v>1126</c:v>
                </c:pt>
                <c:pt idx="9">
                  <c:v>1276</c:v>
                </c:pt>
                <c:pt idx="10">
                  <c:v>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F-4829-8FF8-B2F87C8B5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547407"/>
        <c:axId val="414698511"/>
      </c:lineChart>
      <c:catAx>
        <c:axId val="487547407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98511"/>
        <c:crosses val="autoZero"/>
        <c:auto val="1"/>
        <c:lblAlgn val="ctr"/>
        <c:lblOffset val="100"/>
        <c:noMultiLvlLbl val="0"/>
      </c:catAx>
      <c:valAx>
        <c:axId val="4146985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4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Marginal cost - GMO Corn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'Corn (GMO)'!$L$31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'Corn (GMO)'!$N$33:$N$42</c:f>
              <c:numCache>
                <c:formatCode>_(* #,##0_);_(* \(#,##0\);_(* "-"??_);_(@_)</c:formatCode>
                <c:ptCount val="10"/>
                <c:pt idx="0">
                  <c:v>2500000</c:v>
                </c:pt>
                <c:pt idx="1">
                  <c:v>7500000</c:v>
                </c:pt>
                <c:pt idx="2">
                  <c:v>12500000</c:v>
                </c:pt>
                <c:pt idx="3">
                  <c:v>17500000</c:v>
                </c:pt>
                <c:pt idx="4">
                  <c:v>22500000</c:v>
                </c:pt>
                <c:pt idx="5">
                  <c:v>27500000</c:v>
                </c:pt>
                <c:pt idx="6">
                  <c:v>32500000</c:v>
                </c:pt>
                <c:pt idx="7">
                  <c:v>37500000</c:v>
                </c:pt>
                <c:pt idx="8">
                  <c:v>42500000</c:v>
                </c:pt>
                <c:pt idx="9">
                  <c:v>47500000</c:v>
                </c:pt>
              </c:numCache>
            </c:numRef>
          </c:cat>
          <c:val>
            <c:numRef>
              <c:f>'Corn (GMO)'!$L$33</c:f>
              <c:numCache>
                <c:formatCode>_("$"* #,##0_);_("$"* \(#,##0\);_("$"* "-"??_);_(@_)</c:formatCode>
                <c:ptCount val="1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2-45CA-BDFB-7C1C5C19F062}"/>
            </c:ext>
          </c:extLst>
        </c:ser>
        <c:ser>
          <c:idx val="0"/>
          <c:order val="1"/>
          <c:tx>
            <c:strRef>
              <c:f>'Corn (GMO)'!$E$31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(GMO)'!$N$33:$N$42</c:f>
              <c:numCache>
                <c:formatCode>_(* #,##0_);_(* \(#,##0\);_(* "-"??_);_(@_)</c:formatCode>
                <c:ptCount val="10"/>
                <c:pt idx="0">
                  <c:v>2500000</c:v>
                </c:pt>
                <c:pt idx="1">
                  <c:v>7500000</c:v>
                </c:pt>
                <c:pt idx="2">
                  <c:v>12500000</c:v>
                </c:pt>
                <c:pt idx="3">
                  <c:v>17500000</c:v>
                </c:pt>
                <c:pt idx="4">
                  <c:v>22500000</c:v>
                </c:pt>
                <c:pt idx="5">
                  <c:v>27500000</c:v>
                </c:pt>
                <c:pt idx="6">
                  <c:v>32500000</c:v>
                </c:pt>
                <c:pt idx="7">
                  <c:v>37500000</c:v>
                </c:pt>
                <c:pt idx="8">
                  <c:v>42500000</c:v>
                </c:pt>
                <c:pt idx="9">
                  <c:v>47500000</c:v>
                </c:pt>
              </c:numCache>
            </c:numRef>
          </c:cat>
          <c:val>
            <c:numRef>
              <c:f>'Corn (GMO)'!$E$33:$E$42</c:f>
              <c:numCache>
                <c:formatCode>_("$"* #,##0_);_("$"* \(#,##0\);_("$"* "-"??_);_(@_)</c:formatCode>
                <c:ptCount val="10"/>
                <c:pt idx="0">
                  <c:v>491.56976647005138</c:v>
                </c:pt>
                <c:pt idx="1">
                  <c:v>458.1395329401027</c:v>
                </c:pt>
                <c:pt idx="2">
                  <c:v>424.70929941015407</c:v>
                </c:pt>
                <c:pt idx="3">
                  <c:v>391.27906588020539</c:v>
                </c:pt>
                <c:pt idx="4">
                  <c:v>357.84883235025677</c:v>
                </c:pt>
                <c:pt idx="5">
                  <c:v>324.41859882030815</c:v>
                </c:pt>
                <c:pt idx="6">
                  <c:v>290.98836529035947</c:v>
                </c:pt>
                <c:pt idx="7">
                  <c:v>257.55813176041084</c:v>
                </c:pt>
                <c:pt idx="8">
                  <c:v>224.12789823046216</c:v>
                </c:pt>
                <c:pt idx="9">
                  <c:v>190.69766470051354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2-45CA-BDFB-7C1C5C19F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 = F + MxQ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'Corn (GMO)'!$I$31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(GMO)'!$D$32:$D$42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'Corn (GMO)'!$I$32:$I$42</c:f>
              <c:numCache>
                <c:formatCode>_("$"* #,##0_);_("$"* \(#,##0\);_("$"* "-"??_);_(@_)</c:formatCode>
                <c:ptCount val="11"/>
                <c:pt idx="0">
                  <c:v>130000000</c:v>
                </c:pt>
                <c:pt idx="1">
                  <c:v>160000000</c:v>
                </c:pt>
                <c:pt idx="2">
                  <c:v>240000000</c:v>
                </c:pt>
                <c:pt idx="3">
                  <c:v>370000000</c:v>
                </c:pt>
                <c:pt idx="4">
                  <c:v>550000000</c:v>
                </c:pt>
                <c:pt idx="5">
                  <c:v>780000000</c:v>
                </c:pt>
                <c:pt idx="6">
                  <c:v>1060000000</c:v>
                </c:pt>
                <c:pt idx="7">
                  <c:v>1390000000</c:v>
                </c:pt>
                <c:pt idx="8">
                  <c:v>1770000000</c:v>
                </c:pt>
                <c:pt idx="9">
                  <c:v>2200000000</c:v>
                </c:pt>
                <c:pt idx="10">
                  <c:v>2680000000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B-4BF2-B855-232FD26B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ATC = F/Q +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'Corn (GMO)'!#REF!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(GMO)'!$D$33:$D$42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'Corn (GMO)'!#REF!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FA3-9267-C7F45CBD174E}"/>
            </c:ext>
          </c:extLst>
        </c:ser>
        <c:ser>
          <c:idx val="1"/>
          <c:order val="1"/>
          <c:tx>
            <c:strRef>
              <c:f>'Corn (GMO)'!$L$31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'Corn (GMO)'!$D$33:$D$42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'Corn (GMO)'!$L$33:$L$42</c:f>
              <c:numCache>
                <c:formatCode>_("$"* #,##0_);_("$"* \(#,##0\);_("$"* "-"??_);_(@_)</c:formatCode>
                <c:ptCount val="10"/>
                <c:pt idx="0">
                  <c:v>6</c:v>
                </c:pt>
                <c:pt idx="1">
                  <c:v>16</c:v>
                </c:pt>
                <c:pt idx="2">
                  <c:v>26</c:v>
                </c:pt>
                <c:pt idx="3">
                  <c:v>36</c:v>
                </c:pt>
                <c:pt idx="4">
                  <c:v>46</c:v>
                </c:pt>
                <c:pt idx="5">
                  <c:v>56</c:v>
                </c:pt>
                <c:pt idx="6">
                  <c:v>66</c:v>
                </c:pt>
                <c:pt idx="7">
                  <c:v>76</c:v>
                </c:pt>
                <c:pt idx="8">
                  <c:v>86</c:v>
                </c:pt>
                <c:pt idx="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FA3-9267-C7F45CBD1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GMO Corn (Imperfect)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(GMO)'!$D$32:$D$42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'Corn (GMO)'!$E$32:$E$42</c:f>
              <c:numCache>
                <c:formatCode>_("$"* #,##0_);_("$"* \(#,##0\);_("$"* "-"??_);_(@_)</c:formatCode>
                <c:ptCount val="11"/>
                <c:pt idx="0">
                  <c:v>525</c:v>
                </c:pt>
                <c:pt idx="1">
                  <c:v>491.56976647005138</c:v>
                </c:pt>
                <c:pt idx="2">
                  <c:v>458.1395329401027</c:v>
                </c:pt>
                <c:pt idx="3">
                  <c:v>424.70929941015407</c:v>
                </c:pt>
                <c:pt idx="4">
                  <c:v>391.27906588020539</c:v>
                </c:pt>
                <c:pt idx="5">
                  <c:v>357.84883235025677</c:v>
                </c:pt>
                <c:pt idx="6">
                  <c:v>324.41859882030815</c:v>
                </c:pt>
                <c:pt idx="7">
                  <c:v>290.98836529035947</c:v>
                </c:pt>
                <c:pt idx="8">
                  <c:v>257.55813176041084</c:v>
                </c:pt>
                <c:pt idx="9">
                  <c:v>224.12789823046216</c:v>
                </c:pt>
                <c:pt idx="10">
                  <c:v>190.69766470051354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1-470E-BA74-6FE89ACADB92}"/>
            </c:ext>
          </c:extLst>
        </c:ser>
        <c:ser>
          <c:idx val="1"/>
          <c:order val="1"/>
          <c:tx>
            <c:strRef>
              <c:f>'Corn (GMO)'!$L$31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'Corn (GMO)'!$D$32:$D$42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'Corn (GMO)'!$L$32:$L$42</c:f>
              <c:numCache>
                <c:formatCode>_("$"* #,##0_);_("$"* \(#,##0\);_("$"* "-"??_);_(@_)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16</c:v>
                </c:pt>
                <c:pt idx="3">
                  <c:v>26</c:v>
                </c:pt>
                <c:pt idx="4">
                  <c:v>36</c:v>
                </c:pt>
                <c:pt idx="5">
                  <c:v>46</c:v>
                </c:pt>
                <c:pt idx="6">
                  <c:v>56</c:v>
                </c:pt>
                <c:pt idx="7">
                  <c:v>66</c:v>
                </c:pt>
                <c:pt idx="8">
                  <c:v>76</c:v>
                </c:pt>
                <c:pt idx="9">
                  <c:v>86</c:v>
                </c:pt>
                <c:pt idx="10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1-470E-BA74-6FE89ACADB92}"/>
            </c:ext>
          </c:extLst>
        </c:ser>
        <c:ser>
          <c:idx val="2"/>
          <c:order val="2"/>
          <c:tx>
            <c:strRef>
              <c:f>'Corn (GMO)'!$P$31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'Corn (GMO)'!$D$32:$D$42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'Corn (GMO)'!$P$32:$P$42</c:f>
              <c:numCache>
                <c:formatCode>_("$"* #,##0_);_("$"* \(#,##0\);_("$"* "-"??_);_(@_)</c:formatCode>
                <c:ptCount val="11"/>
                <c:pt idx="0">
                  <c:v>525</c:v>
                </c:pt>
                <c:pt idx="1">
                  <c:v>458.1395329401027</c:v>
                </c:pt>
                <c:pt idx="2">
                  <c:v>391.27906588020539</c:v>
                </c:pt>
                <c:pt idx="3">
                  <c:v>324.41859882030815</c:v>
                </c:pt>
                <c:pt idx="4">
                  <c:v>257.55813176041084</c:v>
                </c:pt>
                <c:pt idx="5">
                  <c:v>190.69766470051354</c:v>
                </c:pt>
                <c:pt idx="6">
                  <c:v>123.83719764061624</c:v>
                </c:pt>
                <c:pt idx="7">
                  <c:v>56.976730580718936</c:v>
                </c:pt>
                <c:pt idx="8">
                  <c:v>-9.8837364791783102</c:v>
                </c:pt>
                <c:pt idx="9">
                  <c:v>-76.74420353907567</c:v>
                </c:pt>
                <c:pt idx="10">
                  <c:v>-143.60467059897292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1-470E-BA74-6FE89ACAD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547407"/>
        <c:axId val="414698511"/>
      </c:lineChart>
      <c:catAx>
        <c:axId val="487547407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98511"/>
        <c:crosses val="autoZero"/>
        <c:auto val="1"/>
        <c:lblAlgn val="ctr"/>
        <c:lblOffset val="100"/>
        <c:noMultiLvlLbl val="0"/>
      </c:catAx>
      <c:valAx>
        <c:axId val="4146985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4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Marginal cost - GMO Corn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'Corn (Roundup)'!$M$30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(Roundup)'!$O$32:$O$41</c:f>
              <c:numCache>
                <c:formatCode>_(* #,##0_);_(* \(#,##0\);_(* "-"??_);_(@_)</c:formatCode>
                <c:ptCount val="10"/>
                <c:pt idx="0">
                  <c:v>2500001</c:v>
                </c:pt>
                <c:pt idx="1">
                  <c:v>7500001</c:v>
                </c:pt>
                <c:pt idx="2">
                  <c:v>12500001</c:v>
                </c:pt>
                <c:pt idx="3">
                  <c:v>17500001</c:v>
                </c:pt>
                <c:pt idx="4">
                  <c:v>22500001</c:v>
                </c:pt>
                <c:pt idx="5">
                  <c:v>27500001</c:v>
                </c:pt>
                <c:pt idx="6">
                  <c:v>32500001</c:v>
                </c:pt>
                <c:pt idx="7">
                  <c:v>37500001</c:v>
                </c:pt>
                <c:pt idx="8">
                  <c:v>42500001</c:v>
                </c:pt>
                <c:pt idx="9">
                  <c:v>47500001</c:v>
                </c:pt>
              </c:numCache>
            </c:numRef>
          </c:cat>
          <c:val>
            <c:numRef>
              <c:f>'Corn (Roundup)'!$M$32</c:f>
              <c:numCache>
                <c:formatCode>_("$"* #,##0_);_("$"* \(#,##0\);_("$"* "-"??_);_(@_)</c:formatCode>
                <c:ptCount val="1"/>
                <c:pt idx="0">
                  <c:v>6.0000020000000029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4-4806-97FD-4670EBC549D8}"/>
            </c:ext>
          </c:extLst>
        </c:ser>
        <c:ser>
          <c:idx val="0"/>
          <c:order val="1"/>
          <c:tx>
            <c:strRef>
              <c:f>'Corn (Roundup)'!$E$30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(Roundup)'!$O$32:$O$41</c:f>
              <c:numCache>
                <c:formatCode>_(* #,##0_);_(* \(#,##0\);_(* "-"??_);_(@_)</c:formatCode>
                <c:ptCount val="10"/>
                <c:pt idx="0">
                  <c:v>2500001</c:v>
                </c:pt>
                <c:pt idx="1">
                  <c:v>7500001</c:v>
                </c:pt>
                <c:pt idx="2">
                  <c:v>12500001</c:v>
                </c:pt>
                <c:pt idx="3">
                  <c:v>17500001</c:v>
                </c:pt>
                <c:pt idx="4">
                  <c:v>22500001</c:v>
                </c:pt>
                <c:pt idx="5">
                  <c:v>27500001</c:v>
                </c:pt>
                <c:pt idx="6">
                  <c:v>32500001</c:v>
                </c:pt>
                <c:pt idx="7">
                  <c:v>37500001</c:v>
                </c:pt>
                <c:pt idx="8">
                  <c:v>42500001</c:v>
                </c:pt>
                <c:pt idx="9">
                  <c:v>47500001</c:v>
                </c:pt>
              </c:numCache>
            </c:numRef>
          </c:cat>
          <c:val>
            <c:numRef>
              <c:f>'Corn (Roundup)'!$E$32:$E$41</c:f>
              <c:numCache>
                <c:formatCode>_("$"* #,##0_);_("$"* \(#,##0\);_("$"* "-"??_);_(@_)</c:formatCode>
                <c:ptCount val="10"/>
                <c:pt idx="0">
                  <c:v>491.56975978400465</c:v>
                </c:pt>
                <c:pt idx="1">
                  <c:v>458.13952625405602</c:v>
                </c:pt>
                <c:pt idx="2">
                  <c:v>424.70929272410734</c:v>
                </c:pt>
                <c:pt idx="3">
                  <c:v>391.27905919415866</c:v>
                </c:pt>
                <c:pt idx="4">
                  <c:v>357.84882566421004</c:v>
                </c:pt>
                <c:pt idx="5">
                  <c:v>324.41859213426142</c:v>
                </c:pt>
                <c:pt idx="6">
                  <c:v>290.98835860431279</c:v>
                </c:pt>
                <c:pt idx="7">
                  <c:v>257.55812507436411</c:v>
                </c:pt>
                <c:pt idx="8">
                  <c:v>224.12789154441549</c:v>
                </c:pt>
                <c:pt idx="9">
                  <c:v>190.69765801446681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4-4806-97FD-4670EBC54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 = F + MxQ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'Corn (Roundup)'!$I$30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(Roundup)'!$D$31:$D$41</c:f>
              <c:numCache>
                <c:formatCode>_(* #,##0_);_(* \(#,##0\);_(* "-"??_);_(@_)</c:formatCode>
                <c:ptCount val="11"/>
                <c:pt idx="0">
                  <c:v>1</c:v>
                </c:pt>
                <c:pt idx="1">
                  <c:v>5000001</c:v>
                </c:pt>
                <c:pt idx="2">
                  <c:v>10000001</c:v>
                </c:pt>
                <c:pt idx="3">
                  <c:v>15000001</c:v>
                </c:pt>
                <c:pt idx="4">
                  <c:v>20000001</c:v>
                </c:pt>
                <c:pt idx="5">
                  <c:v>25000001</c:v>
                </c:pt>
                <c:pt idx="6">
                  <c:v>30000001</c:v>
                </c:pt>
                <c:pt idx="7">
                  <c:v>35000001</c:v>
                </c:pt>
                <c:pt idx="8">
                  <c:v>40000001</c:v>
                </c:pt>
                <c:pt idx="9">
                  <c:v>45000001</c:v>
                </c:pt>
                <c:pt idx="10">
                  <c:v>50000001</c:v>
                </c:pt>
              </c:numCache>
            </c:numRef>
          </c:cat>
          <c:val>
            <c:numRef>
              <c:f>'Corn (Roundup)'!$I$31:$I$41</c:f>
              <c:numCache>
                <c:formatCode>_("$"* #,##0_);_("$"* \(#,##0\);_("$"* "-"??_);_(@_)</c:formatCode>
                <c:ptCount val="11"/>
                <c:pt idx="0">
                  <c:v>130000001.000001</c:v>
                </c:pt>
                <c:pt idx="1">
                  <c:v>160000011.00000101</c:v>
                </c:pt>
                <c:pt idx="2">
                  <c:v>240000021.00000101</c:v>
                </c:pt>
                <c:pt idx="3">
                  <c:v>370000031.00000095</c:v>
                </c:pt>
                <c:pt idx="4">
                  <c:v>550000041.00000095</c:v>
                </c:pt>
                <c:pt idx="5">
                  <c:v>780000051.00000095</c:v>
                </c:pt>
                <c:pt idx="6">
                  <c:v>1060000061.000001</c:v>
                </c:pt>
                <c:pt idx="7">
                  <c:v>1390000071.000001</c:v>
                </c:pt>
                <c:pt idx="8">
                  <c:v>1770000081.000001</c:v>
                </c:pt>
                <c:pt idx="9">
                  <c:v>2200000091.000001</c:v>
                </c:pt>
                <c:pt idx="10">
                  <c:v>2680000101.000001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B-4E0D-8347-3F03BBC6C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ATC = F/Q +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'Corn (Roundup)'!$L$30</c:f>
              <c:strCache>
                <c:ptCount val="1"/>
                <c:pt idx="0">
                  <c:v>ATC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(Roundup)'!$D$32:$D$41</c:f>
              <c:numCache>
                <c:formatCode>_(* #,##0_);_(* \(#,##0\);_(* "-"??_);_(@_)</c:formatCode>
                <c:ptCount val="10"/>
                <c:pt idx="0">
                  <c:v>5000001</c:v>
                </c:pt>
                <c:pt idx="1">
                  <c:v>10000001</c:v>
                </c:pt>
                <c:pt idx="2">
                  <c:v>15000001</c:v>
                </c:pt>
                <c:pt idx="3">
                  <c:v>20000001</c:v>
                </c:pt>
                <c:pt idx="4">
                  <c:v>25000001</c:v>
                </c:pt>
                <c:pt idx="5">
                  <c:v>30000001</c:v>
                </c:pt>
                <c:pt idx="6">
                  <c:v>35000001</c:v>
                </c:pt>
                <c:pt idx="7">
                  <c:v>40000001</c:v>
                </c:pt>
                <c:pt idx="8">
                  <c:v>45000001</c:v>
                </c:pt>
                <c:pt idx="9">
                  <c:v>50000001</c:v>
                </c:pt>
              </c:numCache>
            </c:numRef>
          </c:cat>
          <c:val>
            <c:numRef>
              <c:f>'Corn (Roundup)'!$L$32:$L$41</c:f>
              <c:numCache>
                <c:formatCode>_("$"* #,##0_);_("$"* \(#,##0\);_("$"* "-"??_);_(@_)</c:formatCode>
                <c:ptCount val="10"/>
                <c:pt idx="0">
                  <c:v>31.999995800001042</c:v>
                </c:pt>
                <c:pt idx="1">
                  <c:v>23.999999700000131</c:v>
                </c:pt>
                <c:pt idx="2">
                  <c:v>24.666667088888925</c:v>
                </c:pt>
                <c:pt idx="3">
                  <c:v>27.500000675000013</c:v>
                </c:pt>
                <c:pt idx="4">
                  <c:v>31.200000792000008</c:v>
                </c:pt>
                <c:pt idx="5">
                  <c:v>35.333334188888891</c:v>
                </c:pt>
                <c:pt idx="6">
                  <c:v>39.71428660816327</c:v>
                </c:pt>
                <c:pt idx="7">
                  <c:v>44.250000918750004</c:v>
                </c:pt>
                <c:pt idx="8">
                  <c:v>48.888889824691361</c:v>
                </c:pt>
                <c:pt idx="9">
                  <c:v>53.600000948000002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0AE-B9C5-03AA123EF78C}"/>
            </c:ext>
          </c:extLst>
        </c:ser>
        <c:ser>
          <c:idx val="1"/>
          <c:order val="1"/>
          <c:tx>
            <c:strRef>
              <c:f>'Corn (Roundup)'!$M$30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(Roundup)'!$D$32:$D$41</c:f>
              <c:numCache>
                <c:formatCode>_(* #,##0_);_(* \(#,##0\);_(* "-"??_);_(@_)</c:formatCode>
                <c:ptCount val="10"/>
                <c:pt idx="0">
                  <c:v>5000001</c:v>
                </c:pt>
                <c:pt idx="1">
                  <c:v>10000001</c:v>
                </c:pt>
                <c:pt idx="2">
                  <c:v>15000001</c:v>
                </c:pt>
                <c:pt idx="3">
                  <c:v>20000001</c:v>
                </c:pt>
                <c:pt idx="4">
                  <c:v>25000001</c:v>
                </c:pt>
                <c:pt idx="5">
                  <c:v>30000001</c:v>
                </c:pt>
                <c:pt idx="6">
                  <c:v>35000001</c:v>
                </c:pt>
                <c:pt idx="7">
                  <c:v>40000001</c:v>
                </c:pt>
                <c:pt idx="8">
                  <c:v>45000001</c:v>
                </c:pt>
                <c:pt idx="9">
                  <c:v>50000001</c:v>
                </c:pt>
              </c:numCache>
            </c:numRef>
          </c:cat>
          <c:val>
            <c:numRef>
              <c:f>'Corn (Roundup)'!$M$32:$M$41</c:f>
              <c:numCache>
                <c:formatCode>_("$"* #,##0_);_("$"* \(#,##0\);_("$"* "-"??_);_(@_)</c:formatCode>
                <c:ptCount val="10"/>
                <c:pt idx="0">
                  <c:v>6.0000020000000029</c:v>
                </c:pt>
                <c:pt idx="1">
                  <c:v>16.000001999999999</c:v>
                </c:pt>
                <c:pt idx="2">
                  <c:v>26.000001999999988</c:v>
                </c:pt>
                <c:pt idx="3">
                  <c:v>36.000002000000002</c:v>
                </c:pt>
                <c:pt idx="4">
                  <c:v>46.000002000000002</c:v>
                </c:pt>
                <c:pt idx="5">
                  <c:v>56.000002000000002</c:v>
                </c:pt>
                <c:pt idx="6">
                  <c:v>66.000001999999995</c:v>
                </c:pt>
                <c:pt idx="7">
                  <c:v>76.000001999999995</c:v>
                </c:pt>
                <c:pt idx="8">
                  <c:v>86.000001999999995</c:v>
                </c:pt>
                <c:pt idx="9">
                  <c:v>96.000001999999995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5-40AE-B9C5-03AA123E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GMO Corn (Perfect)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(Roundup)'!$D$31:$D$41</c:f>
              <c:numCache>
                <c:formatCode>_(* #,##0_);_(* \(#,##0\);_(* "-"??_);_(@_)</c:formatCode>
                <c:ptCount val="11"/>
                <c:pt idx="0">
                  <c:v>1</c:v>
                </c:pt>
                <c:pt idx="1">
                  <c:v>5000001</c:v>
                </c:pt>
                <c:pt idx="2">
                  <c:v>10000001</c:v>
                </c:pt>
                <c:pt idx="3">
                  <c:v>15000001</c:v>
                </c:pt>
                <c:pt idx="4">
                  <c:v>20000001</c:v>
                </c:pt>
                <c:pt idx="5">
                  <c:v>25000001</c:v>
                </c:pt>
                <c:pt idx="6">
                  <c:v>30000001</c:v>
                </c:pt>
                <c:pt idx="7">
                  <c:v>35000001</c:v>
                </c:pt>
                <c:pt idx="8">
                  <c:v>40000001</c:v>
                </c:pt>
                <c:pt idx="9">
                  <c:v>45000001</c:v>
                </c:pt>
                <c:pt idx="10">
                  <c:v>50000001</c:v>
                </c:pt>
              </c:numCache>
            </c:numRef>
          </c:cat>
          <c:val>
            <c:numRef>
              <c:f>'Corn (Roundup)'!$E$31:$E$41</c:f>
              <c:numCache>
                <c:formatCode>_("$"* #,##0_);_("$"* \(#,##0\);_("$"* "-"??_);_(@_)</c:formatCode>
                <c:ptCount val="11"/>
                <c:pt idx="0">
                  <c:v>525</c:v>
                </c:pt>
                <c:pt idx="1">
                  <c:v>491.56975978400465</c:v>
                </c:pt>
                <c:pt idx="2">
                  <c:v>458.13952625405602</c:v>
                </c:pt>
                <c:pt idx="3">
                  <c:v>424.70929272410734</c:v>
                </c:pt>
                <c:pt idx="4">
                  <c:v>391.27905919415866</c:v>
                </c:pt>
                <c:pt idx="5">
                  <c:v>357.84882566421004</c:v>
                </c:pt>
                <c:pt idx="6">
                  <c:v>324.41859213426142</c:v>
                </c:pt>
                <c:pt idx="7">
                  <c:v>290.98835860431279</c:v>
                </c:pt>
                <c:pt idx="8">
                  <c:v>257.55812507436411</c:v>
                </c:pt>
                <c:pt idx="9">
                  <c:v>224.12789154441549</c:v>
                </c:pt>
                <c:pt idx="10">
                  <c:v>190.69765801446681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5-404E-AE94-60956CDA31C7}"/>
            </c:ext>
          </c:extLst>
        </c:ser>
        <c:ser>
          <c:idx val="1"/>
          <c:order val="1"/>
          <c:tx>
            <c:strRef>
              <c:f>'Corn (Roundup)'!$M$30</c:f>
              <c:strCache>
                <c:ptCount val="1"/>
                <c:pt idx="0">
                  <c:v>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(Roundup)'!$D$31:$D$41</c:f>
              <c:numCache>
                <c:formatCode>_(* #,##0_);_(* \(#,##0\);_(* "-"??_);_(@_)</c:formatCode>
                <c:ptCount val="11"/>
                <c:pt idx="0">
                  <c:v>1</c:v>
                </c:pt>
                <c:pt idx="1">
                  <c:v>5000001</c:v>
                </c:pt>
                <c:pt idx="2">
                  <c:v>10000001</c:v>
                </c:pt>
                <c:pt idx="3">
                  <c:v>15000001</c:v>
                </c:pt>
                <c:pt idx="4">
                  <c:v>20000001</c:v>
                </c:pt>
                <c:pt idx="5">
                  <c:v>25000001</c:v>
                </c:pt>
                <c:pt idx="6">
                  <c:v>30000001</c:v>
                </c:pt>
                <c:pt idx="7">
                  <c:v>35000001</c:v>
                </c:pt>
                <c:pt idx="8">
                  <c:v>40000001</c:v>
                </c:pt>
                <c:pt idx="9">
                  <c:v>45000001</c:v>
                </c:pt>
                <c:pt idx="10">
                  <c:v>50000001</c:v>
                </c:pt>
              </c:numCache>
            </c:numRef>
          </c:cat>
          <c:val>
            <c:numRef>
              <c:f>'Corn (Roundup)'!$M$31:$M$41</c:f>
              <c:numCache>
                <c:formatCode>_("$"* #,##0_);_("$"* \(#,##0\);_("$"* "-"??_);_(@_)</c:formatCode>
                <c:ptCount val="11"/>
                <c:pt idx="0">
                  <c:v>0</c:v>
                </c:pt>
                <c:pt idx="1">
                  <c:v>6.0000020000000029</c:v>
                </c:pt>
                <c:pt idx="2">
                  <c:v>16.000001999999999</c:v>
                </c:pt>
                <c:pt idx="3">
                  <c:v>26.000001999999988</c:v>
                </c:pt>
                <c:pt idx="4">
                  <c:v>36.000002000000002</c:v>
                </c:pt>
                <c:pt idx="5">
                  <c:v>46.000002000000002</c:v>
                </c:pt>
                <c:pt idx="6">
                  <c:v>56.000002000000002</c:v>
                </c:pt>
                <c:pt idx="7">
                  <c:v>66.000001999999995</c:v>
                </c:pt>
                <c:pt idx="8">
                  <c:v>76.000001999999995</c:v>
                </c:pt>
                <c:pt idx="9">
                  <c:v>86.000001999999995</c:v>
                </c:pt>
                <c:pt idx="10">
                  <c:v>96.000001999999995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5-404E-AE94-60956CDA31C7}"/>
            </c:ext>
          </c:extLst>
        </c:ser>
        <c:ser>
          <c:idx val="2"/>
          <c:order val="2"/>
          <c:tx>
            <c:v>MR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'Corn (Roundup)'!$D$31:$D$41</c:f>
              <c:numCache>
                <c:formatCode>_(* #,##0_);_(* \(#,##0\);_(* "-"??_);_(@_)</c:formatCode>
                <c:ptCount val="11"/>
                <c:pt idx="0">
                  <c:v>1</c:v>
                </c:pt>
                <c:pt idx="1">
                  <c:v>5000001</c:v>
                </c:pt>
                <c:pt idx="2">
                  <c:v>10000001</c:v>
                </c:pt>
                <c:pt idx="3">
                  <c:v>15000001</c:v>
                </c:pt>
                <c:pt idx="4">
                  <c:v>20000001</c:v>
                </c:pt>
                <c:pt idx="5">
                  <c:v>25000001</c:v>
                </c:pt>
                <c:pt idx="6">
                  <c:v>30000001</c:v>
                </c:pt>
                <c:pt idx="7">
                  <c:v>35000001</c:v>
                </c:pt>
                <c:pt idx="8">
                  <c:v>40000001</c:v>
                </c:pt>
                <c:pt idx="9">
                  <c:v>45000001</c:v>
                </c:pt>
                <c:pt idx="10">
                  <c:v>50000001</c:v>
                </c:pt>
              </c:numCache>
            </c:numRef>
          </c:cat>
          <c:val>
            <c:numRef>
              <c:f>'Corn (Roundup)'!$K$31:$K$41</c:f>
              <c:numCache>
                <c:formatCode>_("$"* #,##0_);_("$"* \(#,##0\);_("$"* "-"??_);_(@_)</c:formatCode>
                <c:ptCount val="11"/>
                <c:pt idx="0">
                  <c:v>524.99998662790654</c:v>
                </c:pt>
                <c:pt idx="1">
                  <c:v>458.13951956800929</c:v>
                </c:pt>
                <c:pt idx="2">
                  <c:v>391.27905250811199</c:v>
                </c:pt>
                <c:pt idx="3">
                  <c:v>324.41858544821469</c:v>
                </c:pt>
                <c:pt idx="4">
                  <c:v>257.55811838831738</c:v>
                </c:pt>
                <c:pt idx="5">
                  <c:v>190.69765132842014</c:v>
                </c:pt>
                <c:pt idx="6">
                  <c:v>123.83718426852283</c:v>
                </c:pt>
                <c:pt idx="7">
                  <c:v>56.97671720862553</c:v>
                </c:pt>
                <c:pt idx="8">
                  <c:v>-9.883749851271773</c:v>
                </c:pt>
                <c:pt idx="9">
                  <c:v>-76.744216911169019</c:v>
                </c:pt>
                <c:pt idx="10">
                  <c:v>-143.60468397106638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5-404E-AE94-60956CDA3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547407"/>
        <c:axId val="414698511"/>
      </c:lineChart>
      <c:catAx>
        <c:axId val="487547407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98511"/>
        <c:crosses val="autoZero"/>
        <c:auto val="1"/>
        <c:lblAlgn val="ctr"/>
        <c:lblOffset val="100"/>
        <c:noMultiLvlLbl val="0"/>
      </c:catAx>
      <c:valAx>
        <c:axId val="4146985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4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Marginal cost - GMO Corn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'xxGMO Corn'!$M$17</c:f>
              <c:strCache>
                <c:ptCount val="1"/>
                <c:pt idx="0">
                  <c:v>Marginal Cost (MC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'xxGMO Corn'!$O$19:$O$28</c:f>
              <c:numCache>
                <c:formatCode>_(* #,##0.0_);_(* \(#,##0.0\);_(* "-"??_);_(@_)</c:formatCode>
                <c:ptCount val="10"/>
                <c:pt idx="0">
                  <c:v>2500000</c:v>
                </c:pt>
                <c:pt idx="1">
                  <c:v>7500000</c:v>
                </c:pt>
                <c:pt idx="2">
                  <c:v>12500000</c:v>
                </c:pt>
                <c:pt idx="3">
                  <c:v>17500000</c:v>
                </c:pt>
                <c:pt idx="4">
                  <c:v>22500000</c:v>
                </c:pt>
                <c:pt idx="5">
                  <c:v>27500000</c:v>
                </c:pt>
                <c:pt idx="6">
                  <c:v>32500000</c:v>
                </c:pt>
                <c:pt idx="7">
                  <c:v>37500000</c:v>
                </c:pt>
                <c:pt idx="8">
                  <c:v>42500000</c:v>
                </c:pt>
                <c:pt idx="9">
                  <c:v>47500000</c:v>
                </c:pt>
              </c:numCache>
            </c:numRef>
          </c:cat>
          <c:val>
            <c:numRef>
              <c:f>'xxGMO Corn'!$M$19</c:f>
              <c:numCache>
                <c:formatCode>_("$"* #,##0.00_);_("$"* \(#,##0.00\);_("$"* "-"??_);_(@_)</c:formatCode>
                <c:ptCount val="1"/>
                <c:pt idx="0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B-47F2-95CD-41A3A3607DBA}"/>
            </c:ext>
          </c:extLst>
        </c:ser>
        <c:ser>
          <c:idx val="0"/>
          <c:order val="1"/>
          <c:tx>
            <c:strRef>
              <c:f>'xxGMO Corn'!$E$17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'xxGMO Corn'!$O$19:$O$28</c:f>
              <c:numCache>
                <c:formatCode>_(* #,##0.0_);_(* \(#,##0.0\);_(* "-"??_);_(@_)</c:formatCode>
                <c:ptCount val="10"/>
                <c:pt idx="0">
                  <c:v>2500000</c:v>
                </c:pt>
                <c:pt idx="1">
                  <c:v>7500000</c:v>
                </c:pt>
                <c:pt idx="2">
                  <c:v>12500000</c:v>
                </c:pt>
                <c:pt idx="3">
                  <c:v>17500000</c:v>
                </c:pt>
                <c:pt idx="4">
                  <c:v>22500000</c:v>
                </c:pt>
                <c:pt idx="5">
                  <c:v>27500000</c:v>
                </c:pt>
                <c:pt idx="6">
                  <c:v>32500000</c:v>
                </c:pt>
                <c:pt idx="7">
                  <c:v>37500000</c:v>
                </c:pt>
                <c:pt idx="8">
                  <c:v>42500000</c:v>
                </c:pt>
                <c:pt idx="9">
                  <c:v>47500000</c:v>
                </c:pt>
              </c:numCache>
            </c:numRef>
          </c:cat>
          <c:val>
            <c:numRef>
              <c:f>'xxGMO Corn'!$E$19:$E$28</c:f>
              <c:numCache>
                <c:formatCode>_("$"* #,##0_);_("$"* \(#,##0\);_("$"* "-"??_);_(@_)</c:formatCode>
                <c:ptCount val="10"/>
                <c:pt idx="0">
                  <c:v>717.14285714285711</c:v>
                </c:pt>
                <c:pt idx="1">
                  <c:v>684.28571428571433</c:v>
                </c:pt>
                <c:pt idx="2">
                  <c:v>651.42857142857144</c:v>
                </c:pt>
                <c:pt idx="3">
                  <c:v>618.57142857142856</c:v>
                </c:pt>
                <c:pt idx="4">
                  <c:v>585.71428571428578</c:v>
                </c:pt>
                <c:pt idx="5">
                  <c:v>552.85714285714289</c:v>
                </c:pt>
                <c:pt idx="6">
                  <c:v>520</c:v>
                </c:pt>
                <c:pt idx="7">
                  <c:v>487.14285714285717</c:v>
                </c:pt>
                <c:pt idx="8">
                  <c:v>454.28571428571428</c:v>
                </c:pt>
                <c:pt idx="9">
                  <c:v>421.42857142857144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6-480F-AD89-4CF4FB52B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 = F + MxQ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'xxGMO Corn'!$I$17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'xxGMO Corn'!$D$18:$D$28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'xxGMO Corn'!$I$18:$I$28</c:f>
              <c:numCache>
                <c:formatCode>_("$"* #,##0_);_("$"* \(#,##0\);_("$"* "-"??_);_(@_)</c:formatCode>
                <c:ptCount val="11"/>
                <c:pt idx="0">
                  <c:v>130000000</c:v>
                </c:pt>
                <c:pt idx="1">
                  <c:v>680000000</c:v>
                </c:pt>
                <c:pt idx="2">
                  <c:v>1730000000</c:v>
                </c:pt>
                <c:pt idx="3">
                  <c:v>3280000000</c:v>
                </c:pt>
                <c:pt idx="4">
                  <c:v>5330000000</c:v>
                </c:pt>
                <c:pt idx="5">
                  <c:v>7880000000.000001</c:v>
                </c:pt>
                <c:pt idx="6">
                  <c:v>10930000000</c:v>
                </c:pt>
                <c:pt idx="7">
                  <c:v>14480000000.000002</c:v>
                </c:pt>
                <c:pt idx="8">
                  <c:v>18530000000</c:v>
                </c:pt>
                <c:pt idx="9">
                  <c:v>23080000000</c:v>
                </c:pt>
                <c:pt idx="10">
                  <c:v>28130000000.000004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C-4737-8462-EB05F11B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ATC = F/Q +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'xxGMO Corn'!$L$17</c:f>
              <c:strCache>
                <c:ptCount val="1"/>
                <c:pt idx="0">
                  <c:v>Average Total Cost (ATC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'xxGMO Corn'!$D$19:$D$28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'xxGMO Corn'!$L$19:$L$28</c:f>
              <c:numCache>
                <c:formatCode>_("$"* #,##0.00_);_("$"* \(#,##0.00\);_("$"* "-"??_);_(@_)</c:formatCode>
                <c:ptCount val="10"/>
                <c:pt idx="0">
                  <c:v>136</c:v>
                </c:pt>
                <c:pt idx="1">
                  <c:v>173</c:v>
                </c:pt>
                <c:pt idx="2">
                  <c:v>218.66666666666666</c:v>
                </c:pt>
                <c:pt idx="3">
                  <c:v>266.5</c:v>
                </c:pt>
                <c:pt idx="4">
                  <c:v>315.20000000000005</c:v>
                </c:pt>
                <c:pt idx="5">
                  <c:v>364.33333333333331</c:v>
                </c:pt>
                <c:pt idx="6">
                  <c:v>413.71428571428578</c:v>
                </c:pt>
                <c:pt idx="7">
                  <c:v>463.25</c:v>
                </c:pt>
                <c:pt idx="8">
                  <c:v>512.88888888888891</c:v>
                </c:pt>
                <c:pt idx="9">
                  <c:v>562.6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D-4729-9EA6-56CA98E0B213}"/>
            </c:ext>
          </c:extLst>
        </c:ser>
        <c:ser>
          <c:idx val="1"/>
          <c:order val="1"/>
          <c:tx>
            <c:strRef>
              <c:f>'xxGMO Corn'!$M$17</c:f>
              <c:strCache>
                <c:ptCount val="1"/>
                <c:pt idx="0">
                  <c:v>Marginal Cost (MC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'xxGMO Corn'!$D$19:$D$28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'xxGMO Corn'!$M$19:$M$28</c:f>
              <c:numCache>
                <c:formatCode>_("$"* #,##0.00_);_("$"* \(#,##0.00\);_("$"* "-"??_);_(@_)</c:formatCode>
                <c:ptCount val="10"/>
                <c:pt idx="0">
                  <c:v>110</c:v>
                </c:pt>
                <c:pt idx="1">
                  <c:v>210</c:v>
                </c:pt>
                <c:pt idx="2">
                  <c:v>310</c:v>
                </c:pt>
                <c:pt idx="3">
                  <c:v>410</c:v>
                </c:pt>
                <c:pt idx="4">
                  <c:v>510.00000000000017</c:v>
                </c:pt>
                <c:pt idx="5">
                  <c:v>609.99999999999977</c:v>
                </c:pt>
                <c:pt idx="6">
                  <c:v>710.00000000000034</c:v>
                </c:pt>
                <c:pt idx="7">
                  <c:v>809.99999999999966</c:v>
                </c:pt>
                <c:pt idx="8">
                  <c:v>910</c:v>
                </c:pt>
                <c:pt idx="9">
                  <c:v>1010.0000000000008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DD-4729-9EA6-56CA98E0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GMO Corn (Imperfect Competition)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'xxGMO Corn'!$E$17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'xxGMO Corn'!$D$19:$D$28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'xxGMO Corn'!$E$19:$E$28</c:f>
              <c:numCache>
                <c:formatCode>_("$"* #,##0_);_("$"* \(#,##0\);_("$"* "-"??_);_(@_)</c:formatCode>
                <c:ptCount val="10"/>
                <c:pt idx="0">
                  <c:v>717.14285714285711</c:v>
                </c:pt>
                <c:pt idx="1">
                  <c:v>684.28571428571433</c:v>
                </c:pt>
                <c:pt idx="2">
                  <c:v>651.42857142857144</c:v>
                </c:pt>
                <c:pt idx="3">
                  <c:v>618.57142857142856</c:v>
                </c:pt>
                <c:pt idx="4">
                  <c:v>585.71428571428578</c:v>
                </c:pt>
                <c:pt idx="5">
                  <c:v>552.85714285714289</c:v>
                </c:pt>
                <c:pt idx="6">
                  <c:v>520</c:v>
                </c:pt>
                <c:pt idx="7">
                  <c:v>487.14285714285717</c:v>
                </c:pt>
                <c:pt idx="8">
                  <c:v>454.28571428571428</c:v>
                </c:pt>
                <c:pt idx="9">
                  <c:v>421.42857142857144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E-4748-9CE9-CDB8A60E3528}"/>
            </c:ext>
          </c:extLst>
        </c:ser>
        <c:ser>
          <c:idx val="1"/>
          <c:order val="1"/>
          <c:tx>
            <c:strRef>
              <c:f>'xxGMO Corn'!$M$17</c:f>
              <c:strCache>
                <c:ptCount val="1"/>
                <c:pt idx="0">
                  <c:v>Marginal Cost (MC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'xxGMO Corn'!$D$19:$D$28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'xxGMO Corn'!$M$19:$M$28</c:f>
              <c:numCache>
                <c:formatCode>_("$"* #,##0.00_);_("$"* \(#,##0.00\);_("$"* "-"??_);_(@_)</c:formatCode>
                <c:ptCount val="10"/>
                <c:pt idx="0">
                  <c:v>110</c:v>
                </c:pt>
                <c:pt idx="1">
                  <c:v>210</c:v>
                </c:pt>
                <c:pt idx="2">
                  <c:v>310</c:v>
                </c:pt>
                <c:pt idx="3">
                  <c:v>410</c:v>
                </c:pt>
                <c:pt idx="4">
                  <c:v>510.00000000000017</c:v>
                </c:pt>
                <c:pt idx="5">
                  <c:v>609.99999999999977</c:v>
                </c:pt>
                <c:pt idx="6">
                  <c:v>710.00000000000034</c:v>
                </c:pt>
                <c:pt idx="7">
                  <c:v>809.99999999999966</c:v>
                </c:pt>
                <c:pt idx="8">
                  <c:v>910</c:v>
                </c:pt>
                <c:pt idx="9">
                  <c:v>1010.0000000000008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BE-4748-9CE9-CDB8A60E3528}"/>
            </c:ext>
          </c:extLst>
        </c:ser>
        <c:ser>
          <c:idx val="2"/>
          <c:order val="2"/>
          <c:tx>
            <c:strRef>
              <c:f>'xxGMO Corn'!$K$17</c:f>
              <c:strCache>
                <c:ptCount val="1"/>
                <c:pt idx="0">
                  <c:v>Marginal Revenue (MR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'xxGMO Corn'!$K$19:$K$28</c:f>
              <c:numCache>
                <c:formatCode>_("$"* #,##0.00_);_("$"* \(#,##0.00\);_("$"* "-"??_);_(@_)</c:formatCode>
                <c:ptCount val="10"/>
                <c:pt idx="0">
                  <c:v>684.28571428571433</c:v>
                </c:pt>
                <c:pt idx="1">
                  <c:v>618.57142857142856</c:v>
                </c:pt>
                <c:pt idx="2">
                  <c:v>552.85714285714289</c:v>
                </c:pt>
                <c:pt idx="3">
                  <c:v>487.14285714285717</c:v>
                </c:pt>
                <c:pt idx="4">
                  <c:v>421.42857142857144</c:v>
                </c:pt>
                <c:pt idx="5">
                  <c:v>355.71428571428572</c:v>
                </c:pt>
                <c:pt idx="6">
                  <c:v>290</c:v>
                </c:pt>
                <c:pt idx="7">
                  <c:v>224.28571428571433</c:v>
                </c:pt>
                <c:pt idx="8">
                  <c:v>158.57142857142856</c:v>
                </c:pt>
                <c:pt idx="9">
                  <c:v>92.85714285714289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BE-4748-9CE9-CDB8A60E3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547407"/>
        <c:axId val="414698511"/>
      </c:lineChart>
      <c:catAx>
        <c:axId val="487547407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98511"/>
        <c:crosses val="autoZero"/>
        <c:auto val="1"/>
        <c:lblAlgn val="ctr"/>
        <c:lblOffset val="100"/>
        <c:noMultiLvlLbl val="0"/>
      </c:catAx>
      <c:valAx>
        <c:axId val="4146985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4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Marginal cost - GMO Corn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'xxGMO Corn (2)'!$M$24</c:f>
              <c:strCache>
                <c:ptCount val="1"/>
                <c:pt idx="0">
                  <c:v>Marginal Cost (MC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'xxGMO Corn (2)'!$O$25:$O$35</c:f>
              <c:numCache>
                <c:formatCode>_(* #,##0.0_);_(* \(#,##0.0\);_(* "-"??_);_(@_)</c:formatCode>
                <c:ptCount val="11"/>
                <c:pt idx="1">
                  <c:v>2500000</c:v>
                </c:pt>
                <c:pt idx="2">
                  <c:v>7500000</c:v>
                </c:pt>
                <c:pt idx="3">
                  <c:v>12500000</c:v>
                </c:pt>
                <c:pt idx="4">
                  <c:v>17500000</c:v>
                </c:pt>
                <c:pt idx="5">
                  <c:v>22500000</c:v>
                </c:pt>
                <c:pt idx="6">
                  <c:v>27500000</c:v>
                </c:pt>
                <c:pt idx="7">
                  <c:v>32500000</c:v>
                </c:pt>
                <c:pt idx="8">
                  <c:v>37500000</c:v>
                </c:pt>
                <c:pt idx="9">
                  <c:v>42500000</c:v>
                </c:pt>
                <c:pt idx="10">
                  <c:v>47500000</c:v>
                </c:pt>
              </c:numCache>
            </c:numRef>
          </c:cat>
          <c:val>
            <c:numRef>
              <c:f>'xxGMO Corn (2)'!$M$25:$M$35</c:f>
              <c:numCache>
                <c:formatCode>_("$"* #,##0.00_);_("$"* \(#,##0.00\);_("$"* "-"??_);_(@_)</c:formatCode>
                <c:ptCount val="11"/>
                <c:pt idx="0">
                  <c:v>270</c:v>
                </c:pt>
                <c:pt idx="1">
                  <c:v>271.35338073303933</c:v>
                </c:pt>
                <c:pt idx="2">
                  <c:v>272.71354531573979</c:v>
                </c:pt>
                <c:pt idx="3">
                  <c:v>274.08052775229243</c:v>
                </c:pt>
                <c:pt idx="4">
                  <c:v>275.45436221733382</c:v>
                </c:pt>
                <c:pt idx="5">
                  <c:v>276.8350830568026</c:v>
                </c:pt>
                <c:pt idx="6">
                  <c:v>278.22272478879671</c:v>
                </c:pt>
                <c:pt idx="7">
                  <c:v>279.61732210443694</c:v>
                </c:pt>
                <c:pt idx="8">
                  <c:v>281.01890986873383</c:v>
                </c:pt>
                <c:pt idx="9">
                  <c:v>282.42752312146001</c:v>
                </c:pt>
                <c:pt idx="10">
                  <c:v>283.84319707802501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E-4172-B1D1-F19A42CDE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Marginal cost - Carrots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'xxGMO Corn (2)'!$M$37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'xxGMO Corn (2)'!$O$38:$O$49</c:f>
              <c:numCache>
                <c:formatCode>_(* #,##0.0_);_(* \(#,##0.0\);_(* "-"??_);_(@_)</c:formatCode>
                <c:ptCount val="12"/>
                <c:pt idx="1">
                  <c:v>2500000</c:v>
                </c:pt>
                <c:pt idx="2">
                  <c:v>7500000</c:v>
                </c:pt>
                <c:pt idx="3">
                  <c:v>12500000</c:v>
                </c:pt>
                <c:pt idx="4">
                  <c:v>17500000</c:v>
                </c:pt>
                <c:pt idx="5">
                  <c:v>21359396</c:v>
                </c:pt>
                <c:pt idx="6">
                  <c:v>22500000</c:v>
                </c:pt>
                <c:pt idx="7">
                  <c:v>27500000</c:v>
                </c:pt>
                <c:pt idx="8">
                  <c:v>32500000</c:v>
                </c:pt>
                <c:pt idx="9">
                  <c:v>37500000</c:v>
                </c:pt>
                <c:pt idx="10">
                  <c:v>42500000</c:v>
                </c:pt>
                <c:pt idx="11">
                  <c:v>47500000</c:v>
                </c:pt>
              </c:numCache>
            </c:numRef>
          </c:cat>
          <c:val>
            <c:numRef>
              <c:f>'xxGMO Corn (2)'!$M$38:$M$49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74618810.134946346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A-4406-A493-70AA1937E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Marginal cost - Carrots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'xxGMO Corn (2)'!$M$37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'xxGMO Corn (2)'!$O$38:$O$49</c:f>
              <c:numCache>
                <c:formatCode>_(* #,##0.0_);_(* \(#,##0.0\);_(* "-"??_);_(@_)</c:formatCode>
                <c:ptCount val="12"/>
                <c:pt idx="1">
                  <c:v>2500000</c:v>
                </c:pt>
                <c:pt idx="2">
                  <c:v>7500000</c:v>
                </c:pt>
                <c:pt idx="3">
                  <c:v>12500000</c:v>
                </c:pt>
                <c:pt idx="4">
                  <c:v>17500000</c:v>
                </c:pt>
                <c:pt idx="5">
                  <c:v>21359396</c:v>
                </c:pt>
                <c:pt idx="6">
                  <c:v>22500000</c:v>
                </c:pt>
                <c:pt idx="7">
                  <c:v>27500000</c:v>
                </c:pt>
                <c:pt idx="8">
                  <c:v>32500000</c:v>
                </c:pt>
                <c:pt idx="9">
                  <c:v>37500000</c:v>
                </c:pt>
                <c:pt idx="10">
                  <c:v>42500000</c:v>
                </c:pt>
                <c:pt idx="11">
                  <c:v>47500000</c:v>
                </c:pt>
              </c:numCache>
            </c:numRef>
          </c:cat>
          <c:val>
            <c:numRef>
              <c:f>'xxGMO Corn (2)'!$M$38:$M$49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74618810.134946346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0-4FB2-9C3A-792AEDC32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 = F + MxQ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'xxGMO Corn (2)'!$I$24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'xxGMO Corn (2)'!$D$25:$D$35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20000000</c:v>
                </c:pt>
                <c:pt idx="5">
                  <c:v>25000000</c:v>
                </c:pt>
                <c:pt idx="6">
                  <c:v>30000000</c:v>
                </c:pt>
                <c:pt idx="7">
                  <c:v>35000000</c:v>
                </c:pt>
                <c:pt idx="8">
                  <c:v>40000000</c:v>
                </c:pt>
                <c:pt idx="9">
                  <c:v>45000000</c:v>
                </c:pt>
                <c:pt idx="10">
                  <c:v>50000000</c:v>
                </c:pt>
              </c:numCache>
            </c:numRef>
          </c:cat>
          <c:val>
            <c:numRef>
              <c:f>'xxGMO Corn (2)'!$I$25:$I$35</c:f>
              <c:numCache>
                <c:formatCode>_("$"* #,##0_);_("$"* \(#,##0\);_("$"* "-"??_);_(@_)</c:formatCode>
                <c:ptCount val="11"/>
                <c:pt idx="0">
                  <c:v>130000000</c:v>
                </c:pt>
                <c:pt idx="1">
                  <c:v>1486766903.6651967</c:v>
                </c:pt>
                <c:pt idx="2">
                  <c:v>2857135453.1573977</c:v>
                </c:pt>
                <c:pt idx="3">
                  <c:v>4241207916.2843862</c:v>
                </c:pt>
                <c:pt idx="4">
                  <c:v>5639087244.3466768</c:v>
                </c:pt>
                <c:pt idx="5">
                  <c:v>7050877076.4200649</c:v>
                </c:pt>
                <c:pt idx="6">
                  <c:v>8476681743.6639013</c:v>
                </c:pt>
                <c:pt idx="7">
                  <c:v>9916606273.6552925</c:v>
                </c:pt>
                <c:pt idx="8">
                  <c:v>11370756394.749353</c:v>
                </c:pt>
                <c:pt idx="9">
                  <c:v>12839238540.4657</c:v>
                </c:pt>
                <c:pt idx="10">
                  <c:v>14322159853.901251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D-40EA-AEA2-EBF7FE8D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ATC = F/Q +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'xxGMO Corn (2)'!$L$24</c:f>
              <c:strCache>
                <c:ptCount val="1"/>
                <c:pt idx="0">
                  <c:v>Average Total Cost (ATC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'xxGMO Corn (2)'!$D$26:$D$35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'xxGMO Corn (2)'!$L$26:$L$35</c:f>
              <c:numCache>
                <c:formatCode>_("$"* #,##0.00_);_("$"* \(#,##0.00\);_("$"* "-"??_);_(@_)</c:formatCode>
                <c:ptCount val="10"/>
                <c:pt idx="0">
                  <c:v>297.35338073303933</c:v>
                </c:pt>
                <c:pt idx="1">
                  <c:v>285.71354531573979</c:v>
                </c:pt>
                <c:pt idx="2">
                  <c:v>282.74719441895905</c:v>
                </c:pt>
                <c:pt idx="3">
                  <c:v>281.95436221733382</c:v>
                </c:pt>
                <c:pt idx="4">
                  <c:v>282.03508305680259</c:v>
                </c:pt>
                <c:pt idx="5">
                  <c:v>282.55605812213003</c:v>
                </c:pt>
                <c:pt idx="6">
                  <c:v>283.33160781872266</c:v>
                </c:pt>
                <c:pt idx="7">
                  <c:v>284.26890986873383</c:v>
                </c:pt>
                <c:pt idx="8">
                  <c:v>285.31641201034887</c:v>
                </c:pt>
                <c:pt idx="9">
                  <c:v>286.44319707802504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2-4880-AB4D-6A1BED96684D}"/>
            </c:ext>
          </c:extLst>
        </c:ser>
        <c:ser>
          <c:idx val="1"/>
          <c:order val="1"/>
          <c:tx>
            <c:strRef>
              <c:f>'xxGMO Corn (2)'!$M$24</c:f>
              <c:strCache>
                <c:ptCount val="1"/>
                <c:pt idx="0">
                  <c:v>Marginal Cost (MC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'xxGMO Corn (2)'!$D$26:$D$35</c:f>
              <c:numCache>
                <c:formatCode>_(* #,##0_);_(* \(#,##0\);_(* "-"??_);_(@_)</c:formatCode>
                <c:ptCount val="1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</c:numCache>
            </c:numRef>
          </c:cat>
          <c:val>
            <c:numRef>
              <c:f>'xxGMO Corn (2)'!$M$26:$M$35</c:f>
              <c:numCache>
                <c:formatCode>_("$"* #,##0.00_);_("$"* \(#,##0.00\);_("$"* "-"??_);_(@_)</c:formatCode>
                <c:ptCount val="10"/>
                <c:pt idx="0">
                  <c:v>271.35338073303933</c:v>
                </c:pt>
                <c:pt idx="1">
                  <c:v>272.71354531573979</c:v>
                </c:pt>
                <c:pt idx="2">
                  <c:v>274.08052775229243</c:v>
                </c:pt>
                <c:pt idx="3">
                  <c:v>275.45436221733382</c:v>
                </c:pt>
                <c:pt idx="4">
                  <c:v>276.8350830568026</c:v>
                </c:pt>
                <c:pt idx="5">
                  <c:v>278.22272478879671</c:v>
                </c:pt>
                <c:pt idx="6">
                  <c:v>279.61732210443694</c:v>
                </c:pt>
                <c:pt idx="7">
                  <c:v>281.01890986873383</c:v>
                </c:pt>
                <c:pt idx="8">
                  <c:v>282.42752312146001</c:v>
                </c:pt>
                <c:pt idx="9">
                  <c:v>283.84319707802501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2-4880-AB4D-6A1BED96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631727"/>
        <c:axId val="362752047"/>
      </c:lineChart>
      <c:catAx>
        <c:axId val="4246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52047"/>
        <c:crosses val="autoZero"/>
        <c:auto val="1"/>
        <c:lblAlgn val="ctr"/>
        <c:lblOffset val="100"/>
        <c:noMultiLvlLbl val="0"/>
      </c:catAx>
      <c:valAx>
        <c:axId val="3627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Cost ($/year(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3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138112</xdr:colOff>
      <xdr:row>1</xdr:row>
      <xdr:rowOff>0</xdr:rowOff>
    </xdr:from>
    <xdr:ext cx="65" cy="28180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EA33E9-6B38-42C8-9E11-1E878EA9BD0A}"/>
            </a:ext>
          </a:extLst>
        </xdr:cNvPr>
        <xdr:cNvSpPr txBox="1"/>
      </xdr:nvSpPr>
      <xdr:spPr>
        <a:xfrm>
          <a:off x="309562" y="1252537"/>
          <a:ext cx="65" cy="281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endParaRPr lang="en-US" sz="1800" b="0">
            <a:ea typeface="Cambria Math" panose="020405030504060302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527048</xdr:colOff>
      <xdr:row>1</xdr:row>
      <xdr:rowOff>187323</xdr:rowOff>
    </xdr:from>
    <xdr:to>
      <xdr:col>17</xdr:col>
      <xdr:colOff>2574923</xdr:colOff>
      <xdr:row>20</xdr:row>
      <xdr:rowOff>92073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AABB-5F73-46C7-9CF6-36A5E8400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138112</xdr:colOff>
      <xdr:row>6</xdr:row>
      <xdr:rowOff>52387</xdr:rowOff>
    </xdr:from>
    <xdr:ext cx="65" cy="28180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12CE38-275A-43DD-A92C-60FFFA8113BA}"/>
            </a:ext>
          </a:extLst>
        </xdr:cNvPr>
        <xdr:cNvSpPr txBox="1"/>
      </xdr:nvSpPr>
      <xdr:spPr>
        <a:xfrm>
          <a:off x="309562" y="1252537"/>
          <a:ext cx="65" cy="281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endParaRPr lang="en-US" sz="18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2</xdr:col>
      <xdr:colOff>171450</xdr:colOff>
      <xdr:row>19</xdr:row>
      <xdr:rowOff>76199</xdr:rowOff>
    </xdr:from>
    <xdr:ext cx="3848100" cy="50958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DF5EF80-D3F0-4AD1-A721-5E7CD83772D8}"/>
                </a:ext>
              </a:extLst>
            </xdr:cNvPr>
            <xdr:cNvSpPr txBox="1"/>
          </xdr:nvSpPr>
          <xdr:spPr>
            <a:xfrm>
              <a:off x="657225" y="3867149"/>
              <a:ext cx="3848100" cy="50958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𝐷𝑒𝑚𝑎𝑛𝑑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𝐶𝑢𝑟𝑣𝑒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</m:oMath>
                </m:oMathPara>
              </a14:m>
              <a:endParaRPr lang="en-US" sz="1800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𝑀𝐶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=0+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</m:oMath>
                </m:oMathPara>
              </a14:m>
              <a:endParaRPr lang="en-US" sz="1800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𝑀𝑅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𝑀𝑀𝑅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=6 −2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</m:oMath>
                </m:oMathPara>
              </a14:m>
              <a:endParaRPr lang="en-US" sz="1800">
                <a:effectLst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𝑀𝐶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𝑀𝑅</m:t>
                    </m:r>
                  </m:oMath>
                </m:oMathPara>
              </a14:m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−2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</m:oMath>
                </m:oMathPara>
              </a14:m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+ 2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+2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=8 −0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4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=8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num>
                      <m:den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den>
                    </m:f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DF5EF80-D3F0-4AD1-A721-5E7CD83772D8}"/>
                </a:ext>
              </a:extLst>
            </xdr:cNvPr>
            <xdr:cNvSpPr txBox="1"/>
          </xdr:nvSpPr>
          <xdr:spPr>
            <a:xfrm>
              <a:off x="657225" y="3867149"/>
              <a:ext cx="3848100" cy="50958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𝐷𝑒𝑚𝑎𝑛𝑑 𝐶𝑢𝑟𝑣𝑒: 𝑃= 𝛼 −𝑏𝑄</a:t>
              </a:r>
              <a:endParaRPr lang="en-US" sz="1800">
                <a:effectLst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𝑀𝐶= 𝛼_𝑀𝐶+𝑏𝑄=0+𝑏𝑄</a:t>
              </a:r>
              <a:endParaRPr lang="en-US" sz="1800">
                <a:effectLst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𝑀𝑅= 𝛼_𝑀𝑀𝑅−2𝑏𝑄=6 −2𝑏𝑄</a:t>
              </a:r>
              <a:endParaRPr lang="en-US" sz="1800">
                <a:effectLst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r>
                <a:rPr lang="en-US" sz="1800" b="0" i="0">
                  <a:latin typeface="Cambria Math" panose="02040503050406030204" pitchFamily="18" charset="0"/>
                </a:rPr>
                <a:t>𝑀𝐶=𝑀𝑅</a:t>
              </a:r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𝛼_𝑀𝐶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+𝑏_𝑀𝐶 𝑄 = 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𝛼_𝑀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−2𝑏_𝑀𝑅 𝑄</a:t>
              </a:r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𝑏_𝑀𝐶 𝑄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2𝑏_𝑀𝑅 𝑄= 𝛼_𝑀𝑅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 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𝛼_𝑀𝐶  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𝑄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𝑄=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−0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4𝑄=8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𝑄=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8/4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10</xdr:row>
      <xdr:rowOff>161924</xdr:rowOff>
    </xdr:from>
    <xdr:to>
      <xdr:col>30</xdr:col>
      <xdr:colOff>47625</xdr:colOff>
      <xdr:row>29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26143-FD55-4D81-B078-B363DFC47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138112</xdr:colOff>
      <xdr:row>6</xdr:row>
      <xdr:rowOff>52387</xdr:rowOff>
    </xdr:from>
    <xdr:ext cx="65" cy="28180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2789EC-E623-4BDA-B01B-892C5CC725DC}"/>
            </a:ext>
          </a:extLst>
        </xdr:cNvPr>
        <xdr:cNvSpPr txBox="1"/>
      </xdr:nvSpPr>
      <xdr:spPr>
        <a:xfrm>
          <a:off x="223837" y="1252537"/>
          <a:ext cx="65" cy="281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algn="l"/>
          <a:endParaRPr lang="en-US" sz="18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2</xdr:col>
      <xdr:colOff>171450</xdr:colOff>
      <xdr:row>19</xdr:row>
      <xdr:rowOff>76200</xdr:rowOff>
    </xdr:from>
    <xdr:ext cx="3848100" cy="3581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7E709D-1BDB-4EC8-9FCC-C8EE1B87251C}"/>
                </a:ext>
              </a:extLst>
            </xdr:cNvPr>
            <xdr:cNvSpPr txBox="1"/>
          </xdr:nvSpPr>
          <xdr:spPr>
            <a:xfrm>
              <a:off x="657225" y="4067175"/>
              <a:ext cx="3848100" cy="3581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𝐷𝑒𝑚𝑎𝑛𝑑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𝐶𝑢𝑟𝑣𝑒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</m:oMath>
                </m:oMathPara>
              </a14:m>
              <a:endParaRPr lang="en-US" sz="1800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𝑀𝐶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=0+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</m:oMath>
                </m:oMathPara>
              </a14:m>
              <a:endParaRPr lang="en-US" sz="1800">
                <a:effectLst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𝑀𝑅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𝑀𝑀𝑅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=6 −2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𝑏𝑄</m:t>
                    </m:r>
                  </m:oMath>
                </m:oMathPara>
              </a14:m>
              <a:endParaRPr lang="en-US" sz="1800">
                <a:effectLst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𝑀𝐶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𝑀𝑅</m:t>
                    </m:r>
                  </m:oMath>
                </m:oMathPara>
              </a14:m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−2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</m:oMath>
                </m:oMathPara>
              </a14:m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+ 2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𝑀𝑅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𝑀𝐶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0.25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+ 0.5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=6 −0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0.75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=6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𝑄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num>
                      <m:den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0.25</m:t>
                        </m:r>
                      </m:den>
                    </m:f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=8</m:t>
                    </m:r>
                  </m:oMath>
                </m:oMathPara>
              </a14:m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7E709D-1BDB-4EC8-9FCC-C8EE1B87251C}"/>
                </a:ext>
              </a:extLst>
            </xdr:cNvPr>
            <xdr:cNvSpPr txBox="1"/>
          </xdr:nvSpPr>
          <xdr:spPr>
            <a:xfrm>
              <a:off x="657225" y="4067175"/>
              <a:ext cx="3848100" cy="3581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𝐷𝑒𝑚𝑎𝑛𝑑 𝐶𝑢𝑟𝑣𝑒: 𝑃= 𝛼 −𝑏𝑄</a:t>
              </a:r>
              <a:endParaRPr lang="en-US" sz="1800">
                <a:effectLst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𝑀𝐶= 𝛼_𝑀𝐶+𝑏𝑄=0+𝑏𝑄</a:t>
              </a:r>
              <a:endParaRPr lang="en-US" sz="1800">
                <a:effectLst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𝑀𝑅= 𝛼_𝑀𝑀𝑅−2𝑏𝑄=6 −2𝑏𝑄</a:t>
              </a:r>
              <a:endParaRPr lang="en-US" sz="1800">
                <a:effectLst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r>
                <a:rPr lang="en-US" sz="1800" b="0" i="0">
                  <a:latin typeface="Cambria Math" panose="02040503050406030204" pitchFamily="18" charset="0"/>
                </a:rPr>
                <a:t>𝑀𝐶=𝑀𝑅</a:t>
              </a:r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Cambria Math" panose="02040503050406030204" pitchFamily="18" charset="0"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𝛼_𝑀𝐶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+𝑏_𝑀𝐶 𝑄 = 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𝛼_𝑀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−2𝑏_𝑀𝑅 𝑄</a:t>
              </a:r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:endParaRPr lang="en-US" sz="1800" b="0" i="1">
                <a:latin typeface="+mn-lt"/>
                <a:ea typeface="Cambria Math" panose="02040503050406030204" pitchFamily="18" charset="0"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𝑏_𝑀𝐶 𝑄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2𝑏_𝑀𝑅 𝑄= 𝛼_𝑀𝑅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 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𝛼_𝑀𝐶  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0.25𝑄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0.5𝑄=6 −0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0.75𝑄=6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l"/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𝑄=6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/0.25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endParaRPr lang="en-US" sz="18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679449</xdr:colOff>
      <xdr:row>35</xdr:row>
      <xdr:rowOff>114298</xdr:rowOff>
    </xdr:from>
    <xdr:to>
      <xdr:col>39</xdr:col>
      <xdr:colOff>85724</xdr:colOff>
      <xdr:row>48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FC2A35-24B6-46EC-B2C9-8489D8730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565150</xdr:colOff>
      <xdr:row>5</xdr:row>
      <xdr:rowOff>138112</xdr:rowOff>
    </xdr:from>
    <xdr:to>
      <xdr:col>31</xdr:col>
      <xdr:colOff>9525</xdr:colOff>
      <xdr:row>33</xdr:row>
      <xdr:rowOff>119062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CFD42AF-3FAF-43FD-BBC8-4DF58A2F5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47625</xdr:colOff>
      <xdr:row>29</xdr:row>
      <xdr:rowOff>0</xdr:rowOff>
    </xdr:from>
    <xdr:to>
      <xdr:col>83</xdr:col>
      <xdr:colOff>47625</xdr:colOff>
      <xdr:row>42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CB19BC7-3125-415A-84F5-6759A7BDF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120650</xdr:colOff>
      <xdr:row>2</xdr:row>
      <xdr:rowOff>19050</xdr:rowOff>
    </xdr:from>
    <xdr:to>
      <xdr:col>15</xdr:col>
      <xdr:colOff>31750</xdr:colOff>
      <xdr:row>27</xdr:row>
      <xdr:rowOff>88900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9BD3B1B-D652-40F4-9939-E09D85FE2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0.45036</cdr:x>
      <cdr:y>0.20814</cdr:y>
    </cdr:from>
    <cdr:to>
      <cdr:x>0.81213</cdr:x>
      <cdr:y>0.34667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E6806AA-91C3-6C6F-3156-2724F6C96200}"/>
            </a:ext>
          </a:extLst>
        </cdr:cNvPr>
        <cdr:cNvSpPr txBox="1"/>
      </cdr:nvSpPr>
      <cdr:spPr>
        <a:xfrm xmlns:a="http://schemas.openxmlformats.org/drawingml/2006/main">
          <a:off x="3274421" y="495622"/>
          <a:ext cx="2630368" cy="3298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>
          <a:noAutofit/>
        </a:bodyPr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FF0000"/>
              </a:solidFill>
            </a:rPr>
            <a:t>MC = $0 + 0.000029Q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615949</xdr:colOff>
      <xdr:row>35</xdr:row>
      <xdr:rowOff>88898</xdr:rowOff>
    </xdr:from>
    <xdr:to>
      <xdr:col>47</xdr:col>
      <xdr:colOff>130174</xdr:colOff>
      <xdr:row>42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28FFB-6086-4F2E-A836-F5F72913C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622300</xdr:colOff>
      <xdr:row>5</xdr:row>
      <xdr:rowOff>119062</xdr:rowOff>
    </xdr:from>
    <xdr:to>
      <xdr:col>40</xdr:col>
      <xdr:colOff>15875</xdr:colOff>
      <xdr:row>33</xdr:row>
      <xdr:rowOff>100012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389CE80-BAB1-423D-A35B-30F002E14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47625</xdr:colOff>
      <xdr:row>29</xdr:row>
      <xdr:rowOff>0</xdr:rowOff>
    </xdr:from>
    <xdr:to>
      <xdr:col>83</xdr:col>
      <xdr:colOff>47625</xdr:colOff>
      <xdr:row>42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A439400-3DC3-4B34-90B5-9FCB248A8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393700</xdr:colOff>
      <xdr:row>1</xdr:row>
      <xdr:rowOff>50800</xdr:rowOff>
    </xdr:from>
    <xdr:to>
      <xdr:col>14</xdr:col>
      <xdr:colOff>1111250</xdr:colOff>
      <xdr:row>26</xdr:row>
      <xdr:rowOff>165100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BE80F096-E82D-39D9-179D-CF298C4B3AEE}"/>
            </a:ext>
          </a:extLst>
        </xdr:cNvPr>
        <xdr:cNvGrpSpPr/>
      </xdr:nvGrpSpPr>
      <xdr:grpSpPr>
        <a:xfrm>
          <a:off x="9467850" y="234950"/>
          <a:ext cx="5137150" cy="4756150"/>
          <a:chOff x="9467850" y="234950"/>
          <a:chExt cx="5137150" cy="4756150"/>
        </a:xfrm>
      </xdr:grpSpPr>
      <xdr:graphicFrame macro="">
        <xdr:nvGraphicFramePr>
          <xdr:cNvPr id="5" name="Chart 1">
            <a:extLst>
              <a:ext uri="{FF2B5EF4-FFF2-40B4-BE49-F238E27FC236}">
                <a16:creationId xmlns:a16="http://schemas.microsoft.com/office/drawing/2014/main" id="{F17F5D3F-AE3D-474B-A938-27BF085F78A5}"/>
              </a:ext>
            </a:extLst>
          </xdr:cNvPr>
          <xdr:cNvGraphicFramePr>
            <a:graphicFrameLocks/>
          </xdr:cNvGraphicFramePr>
        </xdr:nvGraphicFramePr>
        <xdr:xfrm>
          <a:off x="9467850" y="234950"/>
          <a:ext cx="5137150" cy="4756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5AB39A5-0F65-4E6C-FECC-BA1CD6A49C41}"/>
              </a:ext>
            </a:extLst>
          </xdr:cNvPr>
          <xdr:cNvSpPr txBox="1"/>
        </xdr:nvSpPr>
        <xdr:spPr>
          <a:xfrm>
            <a:off x="11696700" y="1460500"/>
            <a:ext cx="194310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400" b="1">
                <a:solidFill>
                  <a:schemeClr val="accent1"/>
                </a:solidFill>
              </a:rPr>
              <a:t>D = $525 - 0.0000067Q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5623913-79BC-4012-8047-EDAA35923853}"/>
              </a:ext>
            </a:extLst>
          </xdr:cNvPr>
          <xdr:cNvSpPr txBox="1"/>
        </xdr:nvSpPr>
        <xdr:spPr>
          <a:xfrm>
            <a:off x="12052300" y="2546350"/>
            <a:ext cx="194310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400" b="1">
                <a:solidFill>
                  <a:schemeClr val="accent3"/>
                </a:solidFill>
              </a:rPr>
              <a:t>MR = ?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BEA200A-CCA7-4FC4-9E4C-4D4AC781BD93}"/>
              </a:ext>
            </a:extLst>
          </xdr:cNvPr>
          <xdr:cNvSpPr txBox="1"/>
        </xdr:nvSpPr>
        <xdr:spPr>
          <a:xfrm>
            <a:off x="10198100" y="3467100"/>
            <a:ext cx="227330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400" b="1">
                <a:solidFill>
                  <a:schemeClr val="accent2"/>
                </a:solidFill>
              </a:rPr>
              <a:t>MC = 0.00000196Q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679449</xdr:colOff>
      <xdr:row>34</xdr:row>
      <xdr:rowOff>114298</xdr:rowOff>
    </xdr:from>
    <xdr:to>
      <xdr:col>40</xdr:col>
      <xdr:colOff>85724</xdr:colOff>
      <xdr:row>47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AAD7C-A704-47C2-8ADE-9871BA904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565150</xdr:colOff>
      <xdr:row>5</xdr:row>
      <xdr:rowOff>138112</xdr:rowOff>
    </xdr:from>
    <xdr:to>
      <xdr:col>32</xdr:col>
      <xdr:colOff>9525</xdr:colOff>
      <xdr:row>32</xdr:row>
      <xdr:rowOff>119062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A50C711-C100-4D4F-A2C6-4B91D34C8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47625</xdr:colOff>
      <xdr:row>28</xdr:row>
      <xdr:rowOff>0</xdr:rowOff>
    </xdr:from>
    <xdr:to>
      <xdr:col>84</xdr:col>
      <xdr:colOff>47625</xdr:colOff>
      <xdr:row>41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6E6D873-8C5C-4F1F-8D45-328C07D41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349250</xdr:colOff>
      <xdr:row>3</xdr:row>
      <xdr:rowOff>82550</xdr:rowOff>
    </xdr:from>
    <xdr:to>
      <xdr:col>10</xdr:col>
      <xdr:colOff>158750</xdr:colOff>
      <xdr:row>26</xdr:row>
      <xdr:rowOff>82550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C48366E-D934-48E7-83BE-2533EAB3F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38099</xdr:colOff>
      <xdr:row>15</xdr:row>
      <xdr:rowOff>133348</xdr:rowOff>
    </xdr:from>
    <xdr:to>
      <xdr:col>59</xdr:col>
      <xdr:colOff>9524</xdr:colOff>
      <xdr:row>36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2439A-C584-9F27-C039-F734B8A7B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565150</xdr:colOff>
      <xdr:row>5</xdr:row>
      <xdr:rowOff>138112</xdr:rowOff>
    </xdr:from>
    <xdr:to>
      <xdr:col>32</xdr:col>
      <xdr:colOff>9525</xdr:colOff>
      <xdr:row>19</xdr:row>
      <xdr:rowOff>119062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712EC3BB-26D5-73F1-6B38-BD9333FF6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47625</xdr:colOff>
      <xdr:row>15</xdr:row>
      <xdr:rowOff>0</xdr:rowOff>
    </xdr:from>
    <xdr:to>
      <xdr:col>84</xdr:col>
      <xdr:colOff>47625</xdr:colOff>
      <xdr:row>28</xdr:row>
      <xdr:rowOff>119062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5DC0622B-A067-4703-E291-06441E2A5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774700</xdr:colOff>
      <xdr:row>46</xdr:row>
      <xdr:rowOff>114300</xdr:rowOff>
    </xdr:from>
    <xdr:to>
      <xdr:col>11</xdr:col>
      <xdr:colOff>234950</xdr:colOff>
      <xdr:row>73</xdr:row>
      <xdr:rowOff>50800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C2FB1A6-A410-2D52-D37A-B870B86F9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0.60626</cdr:x>
      <cdr:y>0.23907</cdr:y>
    </cdr:from>
    <cdr:to>
      <cdr:x>0.81494</cdr:x>
      <cdr:y>0.29263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0649A9E-22E1-576E-ED5C-18CF421E0F38}"/>
            </a:ext>
          </a:extLst>
        </cdr:cNvPr>
        <cdr:cNvSpPr txBox="1"/>
      </cdr:nvSpPr>
      <cdr:spPr>
        <a:xfrm xmlns:a="http://schemas.openxmlformats.org/drawingml/2006/main">
          <a:off x="4057650" y="1181100"/>
          <a:ext cx="139666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rgbClr val="FF0000"/>
              </a:solidFill>
            </a:rPr>
            <a:t>MC = $0 +0.000024Q</a:t>
          </a:r>
        </a:p>
      </cdr:txBody>
    </cdr:sp>
  </cdr:relSizeAnchor>
  <cdr:relSizeAnchor xmlns:cdr="http://schemas.openxmlformats.org/drawingml/2006/chartDrawing">
    <cdr:from>
      <cdr:x>0.22676</cdr:x>
      <cdr:y>0.44216</cdr:y>
    </cdr:from>
    <cdr:to>
      <cdr:x>0.46259</cdr:x>
      <cdr:y>0.49571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11E87D1-41DC-CF3A-9A7F-E2EF4B648AD9}"/>
            </a:ext>
          </a:extLst>
        </cdr:cNvPr>
        <cdr:cNvSpPr txBox="1"/>
      </cdr:nvSpPr>
      <cdr:spPr>
        <a:xfrm xmlns:a="http://schemas.openxmlformats.org/drawingml/2006/main">
          <a:off x="1517650" y="2184400"/>
          <a:ext cx="1578445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chemeClr val="accent1">
                  <a:lumMod val="50000"/>
                </a:schemeClr>
              </a:solidFill>
            </a:rPr>
            <a:t>D = $750</a:t>
          </a:r>
          <a:r>
            <a:rPr lang="en-US" sz="1100" b="1" baseline="0">
              <a:solidFill>
                <a:schemeClr val="accent1">
                  <a:lumMod val="50000"/>
                </a:schemeClr>
              </a:solidFill>
            </a:rPr>
            <a:t> - </a:t>
          </a:r>
          <a:r>
            <a:rPr lang="en-US" sz="1100" b="1">
              <a:solidFill>
                <a:schemeClr val="accent1">
                  <a:lumMod val="50000"/>
                </a:schemeClr>
              </a:solidFill>
            </a:rPr>
            <a:t>0.00000657Q</a:t>
          </a:r>
        </a:p>
      </cdr:txBody>
    </cdr:sp>
  </cdr:relSizeAnchor>
  <cdr:relSizeAnchor xmlns:cdr="http://schemas.openxmlformats.org/drawingml/2006/chartDrawing">
    <cdr:from>
      <cdr:x>0.36243</cdr:x>
      <cdr:y>0.68509</cdr:y>
    </cdr:from>
    <cdr:to>
      <cdr:x>0.60459</cdr:x>
      <cdr:y>0.73864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42DD9625-B558-57FA-9783-75F6BDE8AC63}"/>
            </a:ext>
          </a:extLst>
        </cdr:cNvPr>
        <cdr:cNvSpPr txBox="1"/>
      </cdr:nvSpPr>
      <cdr:spPr>
        <a:xfrm xmlns:a="http://schemas.openxmlformats.org/drawingml/2006/main">
          <a:off x="2425700" y="3384550"/>
          <a:ext cx="1620765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chemeClr val="tx1">
                  <a:lumMod val="50000"/>
                  <a:lumOff val="50000"/>
                </a:schemeClr>
              </a:solidFill>
            </a:rPr>
            <a:t>MR = $750</a:t>
          </a:r>
          <a:r>
            <a:rPr lang="en-US" sz="1100" b="1" baseline="0">
              <a:solidFill>
                <a:schemeClr val="tx1">
                  <a:lumMod val="50000"/>
                  <a:lumOff val="50000"/>
                </a:schemeClr>
              </a:solidFill>
            </a:rPr>
            <a:t> - </a:t>
          </a:r>
          <a:r>
            <a:rPr lang="en-US" sz="1100" b="1">
              <a:solidFill>
                <a:schemeClr val="tx1">
                  <a:lumMod val="50000"/>
                  <a:lumOff val="50000"/>
                </a:schemeClr>
              </a:solidFill>
            </a:rPr>
            <a:t>0.0000131Q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22</xdr:row>
      <xdr:rowOff>133349</xdr:rowOff>
    </xdr:from>
    <xdr:to>
      <xdr:col>51</xdr:col>
      <xdr:colOff>38100</xdr:colOff>
      <xdr:row>35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A0DFF-9044-4360-80AD-0F3AF4D9E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47625</xdr:colOff>
      <xdr:row>84</xdr:row>
      <xdr:rowOff>9525</xdr:rowOff>
    </xdr:from>
    <xdr:to>
      <xdr:col>47</xdr:col>
      <xdr:colOff>47625</xdr:colOff>
      <xdr:row>97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E13DD7-213B-47F8-B27A-85093B776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47625</xdr:colOff>
      <xdr:row>60</xdr:row>
      <xdr:rowOff>9525</xdr:rowOff>
    </xdr:from>
    <xdr:to>
      <xdr:col>47</xdr:col>
      <xdr:colOff>47625</xdr:colOff>
      <xdr:row>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6C1F5-4D18-4CDA-BF21-C460BBDE6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942975</xdr:colOff>
      <xdr:row>13</xdr:row>
      <xdr:rowOff>109537</xdr:rowOff>
    </xdr:from>
    <xdr:to>
      <xdr:col>12</xdr:col>
      <xdr:colOff>466725</xdr:colOff>
      <xdr:row>25</xdr:row>
      <xdr:rowOff>52387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17DAB94-1944-4939-BFB0-3647C3DB2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581025</xdr:colOff>
      <xdr:row>15</xdr:row>
      <xdr:rowOff>147637</xdr:rowOff>
    </xdr:from>
    <xdr:to>
      <xdr:col>15</xdr:col>
      <xdr:colOff>742950</xdr:colOff>
      <xdr:row>27</xdr:row>
      <xdr:rowOff>80962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2A72758A-A32C-4AAF-892C-B01ED1C29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2F30-8E81-40D0-BD93-3B27DA19863C}">
  <dimension ref="B1:AQ9"/>
  <sheetViews>
    <sheetView workbookViewId="0">
      <selection activeCell="E9" sqref="E9"/>
    </sheetView>
  </sheetViews>
  <sheetFormatPr defaultColWidth="1.26953125" defaultRowHeight="23.5" x14ac:dyDescent="0.35"/>
  <cols>
    <col min="1" max="1" width="1.26953125" style="48"/>
    <col min="2" max="2" width="9.54296875" style="48" bestFit="1" customWidth="1"/>
    <col min="3" max="3" width="13.81640625" style="48" bestFit="1" customWidth="1"/>
    <col min="4" max="4" width="8.453125" style="48" bestFit="1" customWidth="1"/>
    <col min="5" max="5" width="22.54296875" style="48" bestFit="1" customWidth="1"/>
    <col min="6" max="6" width="29" style="48" bestFit="1" customWidth="1"/>
    <col min="7" max="7" width="23.7265625" style="48" bestFit="1" customWidth="1"/>
    <col min="8" max="8" width="40.1796875" style="48" bestFit="1" customWidth="1"/>
    <col min="9" max="9" width="12.26953125" style="48" bestFit="1" customWidth="1"/>
    <col min="10" max="10" width="12" style="48" bestFit="1" customWidth="1"/>
    <col min="11" max="11" width="12.7265625" style="48" bestFit="1" customWidth="1"/>
    <col min="12" max="12" width="8" style="48" bestFit="1" customWidth="1"/>
    <col min="13" max="13" width="3.453125" style="48" bestFit="1" customWidth="1"/>
    <col min="14" max="14" width="3.1796875" style="48" bestFit="1" customWidth="1"/>
    <col min="15" max="16" width="5.1796875" style="48" bestFit="1" customWidth="1"/>
    <col min="17" max="17" width="5" style="48" bestFit="1" customWidth="1"/>
    <col min="18" max="18" width="49.81640625" style="48" bestFit="1" customWidth="1"/>
    <col min="19" max="16384" width="1.26953125" style="48"/>
  </cols>
  <sheetData>
    <row r="1" spans="2:43" ht="24" thickBot="1" x14ac:dyDescent="0.4"/>
    <row r="2" spans="2:43" ht="24" thickBot="1" x14ac:dyDescent="0.4">
      <c r="B2" s="49" t="s">
        <v>60</v>
      </c>
      <c r="C2" s="49" t="s">
        <v>57</v>
      </c>
      <c r="D2" s="49" t="s">
        <v>26</v>
      </c>
      <c r="E2" s="49" t="s">
        <v>62</v>
      </c>
      <c r="F2" s="49" t="s">
        <v>63</v>
      </c>
      <c r="G2" s="50" t="s">
        <v>65</v>
      </c>
      <c r="H2" s="49" t="s">
        <v>64</v>
      </c>
    </row>
    <row r="3" spans="2:43" s="61" customFormat="1" ht="24" thickBot="1" x14ac:dyDescent="0.4">
      <c r="B3" s="60"/>
      <c r="C3" s="58" t="s">
        <v>34</v>
      </c>
      <c r="D3" s="58" t="s">
        <v>53</v>
      </c>
      <c r="E3" s="58" t="s">
        <v>66</v>
      </c>
      <c r="F3" s="58" t="s">
        <v>61</v>
      </c>
      <c r="G3" s="59" t="s">
        <v>67</v>
      </c>
      <c r="H3" s="58" t="s">
        <v>68</v>
      </c>
    </row>
    <row r="4" spans="2:43" ht="24" thickBot="1" x14ac:dyDescent="0.4">
      <c r="C4" s="51">
        <v>70000</v>
      </c>
      <c r="D4" s="52">
        <v>45</v>
      </c>
      <c r="E4" s="53">
        <f>C4*D4</f>
        <v>3150000</v>
      </c>
      <c r="F4" s="52">
        <v>55</v>
      </c>
      <c r="G4" s="53">
        <f>C4*F4</f>
        <v>3850000</v>
      </c>
      <c r="H4" s="54" cm="1">
        <f t="array" ref="H4:H5">(price-atc)*q</f>
        <v>-700000</v>
      </c>
      <c r="I4" s="55" t="str">
        <f>IF(F4&gt;D4,"ATC&gt;P","ATC&lt;=P")</f>
        <v>ATC&gt;P</v>
      </c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</row>
    <row r="5" spans="2:43" ht="24" thickBot="1" x14ac:dyDescent="0.4">
      <c r="C5" s="51">
        <v>70000</v>
      </c>
      <c r="D5" s="52">
        <v>45</v>
      </c>
      <c r="E5" s="53">
        <f>C5*D5</f>
        <v>3150000</v>
      </c>
      <c r="F5" s="52">
        <v>35</v>
      </c>
      <c r="G5" s="53">
        <f>C5*F5</f>
        <v>2450000</v>
      </c>
      <c r="H5" s="54">
        <v>700000</v>
      </c>
      <c r="I5" s="55" t="str">
        <f>IF(F5&gt;D5,"ATC&gt;P","ATC&lt;=P")</f>
        <v>ATC&lt;=P</v>
      </c>
      <c r="S5" s="57"/>
    </row>
    <row r="8" spans="2:43" x14ac:dyDescent="0.35">
      <c r="D8" s="48" t="s">
        <v>71</v>
      </c>
    </row>
    <row r="9" spans="2:43" x14ac:dyDescent="0.35">
      <c r="D9" s="48">
        <v>10</v>
      </c>
    </row>
  </sheetData>
  <conditionalFormatting sqref="C4:D5">
    <cfRule type="expression" dxfId="20" priority="2">
      <formula>$C4=#REF!</formula>
    </cfRule>
  </conditionalFormatting>
  <conditionalFormatting sqref="E4:G5">
    <cfRule type="expression" dxfId="19" priority="1">
      <formula>$C4=q_tomato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4CE0-79FA-4E90-BD7C-F04FBC4869CD}">
  <dimension ref="B1:AL18"/>
  <sheetViews>
    <sheetView workbookViewId="0">
      <selection activeCell="J26" sqref="J26"/>
    </sheetView>
  </sheetViews>
  <sheetFormatPr defaultColWidth="1.26953125" defaultRowHeight="14.5" x14ac:dyDescent="0.35"/>
  <cols>
    <col min="1" max="1" width="1.26953125" style="9"/>
    <col min="2" max="2" width="6" style="9" bestFit="1" customWidth="1"/>
    <col min="3" max="3" width="10.81640625" style="9" bestFit="1" customWidth="1"/>
    <col min="4" max="4" width="7" style="9" bestFit="1" customWidth="1"/>
    <col min="5" max="5" width="8.81640625" style="9" bestFit="1" customWidth="1"/>
    <col min="6" max="6" width="17.453125" style="9" bestFit="1" customWidth="1"/>
    <col min="7" max="7" width="15.81640625" style="9" bestFit="1" customWidth="1"/>
    <col min="8" max="8" width="12.26953125" style="9" bestFit="1" customWidth="1"/>
    <col min="9" max="9" width="15" style="9" bestFit="1" customWidth="1"/>
    <col min="10" max="10" width="23.26953125" style="9" bestFit="1" customWidth="1"/>
    <col min="11" max="11" width="7.54296875" style="9" bestFit="1" customWidth="1"/>
    <col min="12" max="12" width="5" style="9" bestFit="1" customWidth="1"/>
    <col min="13" max="13" width="5.1796875" style="9" bestFit="1" customWidth="1"/>
    <col min="14" max="14" width="5" style="9" bestFit="1" customWidth="1"/>
    <col min="15" max="15" width="5.1796875" style="9" bestFit="1" customWidth="1"/>
    <col min="16" max="17" width="5" style="9" bestFit="1" customWidth="1"/>
    <col min="18" max="18" width="49.81640625" style="9" bestFit="1" customWidth="1"/>
    <col min="19" max="16384" width="1.26953125" style="9"/>
  </cols>
  <sheetData>
    <row r="1" spans="2:38" ht="15" thickBot="1" x14ac:dyDescent="0.4">
      <c r="C1" s="42"/>
      <c r="D1" s="166" t="s">
        <v>58</v>
      </c>
      <c r="E1" s="167"/>
      <c r="F1" s="168"/>
    </row>
    <row r="2" spans="2:38" ht="15" thickBot="1" x14ac:dyDescent="0.4">
      <c r="C2" s="45" t="s">
        <v>59</v>
      </c>
      <c r="D2" s="45" t="s">
        <v>32</v>
      </c>
      <c r="E2" s="45" t="s">
        <v>33</v>
      </c>
      <c r="F2" s="45" t="s">
        <v>54</v>
      </c>
    </row>
    <row r="3" spans="2:38" ht="15" thickBot="1" x14ac:dyDescent="0.4">
      <c r="C3" s="15">
        <v>0</v>
      </c>
      <c r="D3" s="15">
        <v>8</v>
      </c>
      <c r="E3" s="35">
        <f>(D3-aMR)/bMR</f>
        <v>0</v>
      </c>
      <c r="F3" s="15">
        <v>0</v>
      </c>
    </row>
    <row r="4" spans="2:38" ht="15" thickBot="1" x14ac:dyDescent="0.4">
      <c r="C4" s="15">
        <v>8</v>
      </c>
      <c r="D4" s="15">
        <v>0</v>
      </c>
      <c r="E4" s="35">
        <f>(D4-aMR)/bMR</f>
        <v>4</v>
      </c>
      <c r="F4" s="15">
        <v>4</v>
      </c>
    </row>
    <row r="5" spans="2:38" ht="15" thickBot="1" x14ac:dyDescent="0.4">
      <c r="C5" s="43" t="s">
        <v>31</v>
      </c>
      <c r="D5" s="44">
        <f>SLOPE($C$3:$C$4,D3:D4)</f>
        <v>-1</v>
      </c>
      <c r="E5" s="44">
        <f>D5*2</f>
        <v>-2</v>
      </c>
      <c r="F5" s="44">
        <f>SLOPE($C$3:$C$4,F3:F4)</f>
        <v>2</v>
      </c>
    </row>
    <row r="6" spans="2:38" ht="15" thickBot="1" x14ac:dyDescent="0.4">
      <c r="C6" s="43" t="s">
        <v>52</v>
      </c>
      <c r="D6" s="15">
        <v>8</v>
      </c>
      <c r="E6" s="44">
        <f>aD</f>
        <v>8</v>
      </c>
      <c r="F6" s="15">
        <v>0</v>
      </c>
    </row>
    <row r="7" spans="2:38" ht="15" thickBot="1" x14ac:dyDescent="0.4">
      <c r="H7" s="45" t="s">
        <v>48</v>
      </c>
    </row>
    <row r="8" spans="2:38" ht="15" thickBot="1" x14ac:dyDescent="0.4">
      <c r="G8" s="66" t="s">
        <v>95</v>
      </c>
      <c r="H8" s="65">
        <f>(aMR-aMC)/(bMC-bMR)</f>
        <v>2</v>
      </c>
      <c r="J8" s="9" t="str">
        <f ca="1">_xlfn.FORMULATEXT(H8)</f>
        <v>=(aMR-aMC)/(bMC-bMR)</v>
      </c>
    </row>
    <row r="9" spans="2:38" ht="15" thickBot="1" x14ac:dyDescent="0.4">
      <c r="G9" s="66" t="s">
        <v>96</v>
      </c>
      <c r="H9" s="63">
        <f>aD+bD*q_prime</f>
        <v>6</v>
      </c>
      <c r="I9" s="45" t="s">
        <v>97</v>
      </c>
      <c r="J9" s="9" t="str">
        <f ca="1">_xlfn.FORMULATEXT(H9)</f>
        <v>=aD+bD*q_prime</v>
      </c>
    </row>
    <row r="10" spans="2:38" ht="15" thickBot="1" x14ac:dyDescent="0.4">
      <c r="G10" s="66" t="s">
        <v>3</v>
      </c>
      <c r="H10" s="63">
        <f>H9*q_prime</f>
        <v>12</v>
      </c>
      <c r="I10" s="3"/>
    </row>
    <row r="11" spans="2:38" ht="15" thickBot="1" x14ac:dyDescent="0.4"/>
    <row r="12" spans="2:38" ht="15" thickBot="1" x14ac:dyDescent="0.4">
      <c r="B12" s="17" t="s">
        <v>60</v>
      </c>
      <c r="C12" s="17"/>
      <c r="D12" s="17"/>
      <c r="E12" s="17" t="s">
        <v>3</v>
      </c>
      <c r="F12" s="17" t="s">
        <v>69</v>
      </c>
      <c r="G12" s="17" t="s">
        <v>70</v>
      </c>
      <c r="H12" s="17" t="s">
        <v>75</v>
      </c>
      <c r="I12" s="17" t="s">
        <v>73</v>
      </c>
      <c r="J12" s="17" t="s">
        <v>0</v>
      </c>
    </row>
    <row r="13" spans="2:38" ht="15" thickBot="1" x14ac:dyDescent="0.4">
      <c r="C13" s="31" t="s">
        <v>34</v>
      </c>
      <c r="D13" s="31" t="s">
        <v>53</v>
      </c>
      <c r="E13" s="31" t="str">
        <f ca="1">_xlfn.FORMULATEXT(E14)</f>
        <v>=q*price</v>
      </c>
      <c r="F13" s="31" t="str">
        <f ca="1">_xlfn.FORMULATEXT(F14)</f>
        <v>=aMR + bMR * q</v>
      </c>
      <c r="G13" s="31" t="str">
        <f ca="1">_xlfn.FORMULATEXT(G14)</f>
        <v>=aMC + bMC * q</v>
      </c>
      <c r="H13" s="31" t="s">
        <v>48</v>
      </c>
      <c r="I13" s="31" t="str">
        <f ca="1">_xlfn.FORMULATEXT(I14)</f>
        <v>=q*costs_marg</v>
      </c>
      <c r="J13" s="31" t="str">
        <f ca="1">_xlfn.FORMULATEXT(J14)</f>
        <v>=rev-costs</v>
      </c>
    </row>
    <row r="14" spans="2:38" ht="15" thickBot="1" x14ac:dyDescent="0.4">
      <c r="C14" s="35">
        <v>0</v>
      </c>
      <c r="D14" s="46">
        <f>aD+bD*C14</f>
        <v>8</v>
      </c>
      <c r="E14" s="24" cm="1">
        <f t="array" ref="E14:E18">q*price</f>
        <v>0</v>
      </c>
      <c r="F14" s="47" cm="1">
        <f t="array" ref="F14:F18">aMR + bMR * q</f>
        <v>8</v>
      </c>
      <c r="G14" s="24" cm="1">
        <f t="array" ref="G14:G18">aMC + bMC * q</f>
        <v>0</v>
      </c>
      <c r="H14" s="26" t="str">
        <f>IF(AND(F14=G14),"&lt;-- MR=MC","")</f>
        <v/>
      </c>
      <c r="I14" s="26" cm="1">
        <f t="array" ref="I14:I18">q*costs_marg</f>
        <v>0</v>
      </c>
      <c r="J14" s="41" cm="1">
        <f t="array" ref="J14:J18">rev-costs</f>
        <v>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spans="2:38" ht="15" thickBot="1" x14ac:dyDescent="0.4">
      <c r="C15" s="35">
        <f>C14+2</f>
        <v>2</v>
      </c>
      <c r="D15" s="46">
        <f>aD+bD*C15</f>
        <v>6</v>
      </c>
      <c r="E15" s="24">
        <v>12</v>
      </c>
      <c r="F15" s="47">
        <v>4</v>
      </c>
      <c r="G15" s="24">
        <v>4</v>
      </c>
      <c r="H15" s="26" t="str">
        <f>IF(AND(F15=G15),"&lt;-- MR=MC","")</f>
        <v>&lt;-- MR=MC</v>
      </c>
      <c r="I15" s="26">
        <v>8</v>
      </c>
      <c r="J15" s="41">
        <v>4</v>
      </c>
      <c r="N15" s="27"/>
    </row>
    <row r="16" spans="2:38" ht="15" thickBot="1" x14ac:dyDescent="0.4">
      <c r="C16" s="35">
        <f>C15+2</f>
        <v>4</v>
      </c>
      <c r="D16" s="79">
        <f>aD+bD*C16</f>
        <v>4</v>
      </c>
      <c r="E16" s="24">
        <v>16</v>
      </c>
      <c r="F16" s="47">
        <v>0</v>
      </c>
      <c r="G16" s="80">
        <v>8</v>
      </c>
      <c r="H16" s="26" t="str">
        <f>IF(AND(F16=G16),"&lt;-- MR=MC","")</f>
        <v/>
      </c>
      <c r="I16" s="26">
        <v>32</v>
      </c>
      <c r="J16" s="41">
        <v>-16</v>
      </c>
      <c r="N16" s="27"/>
    </row>
    <row r="17" spans="3:14" ht="15" thickBot="1" x14ac:dyDescent="0.4">
      <c r="C17" s="35">
        <f>C16+2</f>
        <v>6</v>
      </c>
      <c r="D17" s="46">
        <f>aD+bD*C17</f>
        <v>2</v>
      </c>
      <c r="E17" s="24">
        <v>12</v>
      </c>
      <c r="F17" s="47">
        <v>-4</v>
      </c>
      <c r="G17" s="24">
        <v>12</v>
      </c>
      <c r="H17" s="26" t="str">
        <f>IF(AND(F17=G17),"&lt;-- MR=MC","")</f>
        <v/>
      </c>
      <c r="I17" s="26">
        <v>72</v>
      </c>
      <c r="J17" s="41">
        <v>-60</v>
      </c>
      <c r="N17" s="27"/>
    </row>
    <row r="18" spans="3:14" ht="15" thickBot="1" x14ac:dyDescent="0.4">
      <c r="C18" s="35">
        <f>C17+2</f>
        <v>8</v>
      </c>
      <c r="D18" s="46">
        <f>aD+bD*C18</f>
        <v>0</v>
      </c>
      <c r="E18" s="24">
        <v>0</v>
      </c>
      <c r="F18" s="47">
        <v>-8</v>
      </c>
      <c r="G18" s="24">
        <v>16</v>
      </c>
      <c r="H18" s="26" t="str">
        <f>IF(AND(F18=G18),"&lt;-- MR=MC","")</f>
        <v/>
      </c>
      <c r="I18" s="26">
        <v>128</v>
      </c>
      <c r="J18" s="41">
        <v>-128</v>
      </c>
      <c r="N18" s="27"/>
    </row>
  </sheetData>
  <mergeCells count="1">
    <mergeCell ref="D1:F1"/>
  </mergeCells>
  <conditionalFormatting sqref="C14:D18 G14:G18">
    <cfRule type="expression" dxfId="18" priority="4">
      <formula>$C14=#REF!</formula>
    </cfRule>
  </conditionalFormatting>
  <conditionalFormatting sqref="C14:J18">
    <cfRule type="expression" dxfId="17" priority="1">
      <formula>$C14=$H$8</formula>
    </cfRule>
  </conditionalFormatting>
  <conditionalFormatting sqref="E14:E18">
    <cfRule type="expression" dxfId="16" priority="3">
      <formula>$C14=q_tomato</formula>
    </cfRule>
  </conditionalFormatting>
  <conditionalFormatting sqref="J14:J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BF44-48C5-4140-B63F-521D76C83BA0}">
  <dimension ref="B1:AM18"/>
  <sheetViews>
    <sheetView topLeftCell="B1" workbookViewId="0">
      <selection activeCell="J28" sqref="J28"/>
    </sheetView>
  </sheetViews>
  <sheetFormatPr defaultColWidth="1.26953125" defaultRowHeight="14.5" x14ac:dyDescent="0.35"/>
  <cols>
    <col min="1" max="1" width="1.26953125" style="9"/>
    <col min="2" max="2" width="5" style="9" bestFit="1" customWidth="1"/>
    <col min="3" max="3" width="10.81640625" style="9" bestFit="1" customWidth="1"/>
    <col min="4" max="4" width="5.26953125" style="9" bestFit="1" customWidth="1"/>
    <col min="5" max="5" width="8.81640625" style="9" bestFit="1" customWidth="1"/>
    <col min="6" max="6" width="17.453125" style="9" bestFit="1" customWidth="1"/>
    <col min="7" max="7" width="15.81640625" style="9" bestFit="1" customWidth="1"/>
    <col min="8" max="8" width="12.26953125" style="9" bestFit="1" customWidth="1"/>
    <col min="9" max="9" width="10.26953125" style="9" bestFit="1" customWidth="1"/>
    <col min="10" max="10" width="15" style="9" bestFit="1" customWidth="1"/>
    <col min="11" max="11" width="10.453125" style="9" bestFit="1" customWidth="1"/>
    <col min="12" max="12" width="7.54296875" style="9" bestFit="1" customWidth="1"/>
    <col min="13" max="13" width="5" style="9" bestFit="1" customWidth="1"/>
    <col min="14" max="14" width="5.1796875" style="9" bestFit="1" customWidth="1"/>
    <col min="15" max="15" width="5" style="9" bestFit="1" customWidth="1"/>
    <col min="16" max="16" width="5.1796875" style="9" bestFit="1" customWidth="1"/>
    <col min="17" max="18" width="5" style="9" bestFit="1" customWidth="1"/>
    <col min="19" max="19" width="23.26953125" style="9" bestFit="1" customWidth="1"/>
    <col min="20" max="16384" width="1.26953125" style="9"/>
  </cols>
  <sheetData>
    <row r="1" spans="2:39" ht="15" thickBot="1" x14ac:dyDescent="0.4">
      <c r="C1" s="42"/>
      <c r="D1" s="166" t="s">
        <v>58</v>
      </c>
      <c r="E1" s="167"/>
      <c r="F1" s="168"/>
    </row>
    <row r="2" spans="2:39" ht="15" thickBot="1" x14ac:dyDescent="0.4">
      <c r="C2" s="45" t="s">
        <v>59</v>
      </c>
      <c r="D2" s="45" t="s">
        <v>32</v>
      </c>
      <c r="E2" s="45" t="s">
        <v>33</v>
      </c>
      <c r="F2" s="45" t="s">
        <v>54</v>
      </c>
    </row>
    <row r="3" spans="2:39" ht="15" thickBot="1" x14ac:dyDescent="0.4">
      <c r="C3" s="15">
        <v>0</v>
      </c>
      <c r="D3" s="15">
        <v>24</v>
      </c>
      <c r="E3" s="35">
        <f>(D3-aMR)/bMR</f>
        <v>-36</v>
      </c>
      <c r="F3" s="15">
        <v>0</v>
      </c>
    </row>
    <row r="4" spans="2:39" ht="15" thickBot="1" x14ac:dyDescent="0.4">
      <c r="C4" s="15">
        <v>6</v>
      </c>
      <c r="D4" s="15">
        <v>0</v>
      </c>
      <c r="E4" s="35">
        <f>(D4-aMR)/bMR</f>
        <v>12</v>
      </c>
      <c r="F4" s="15">
        <v>24</v>
      </c>
    </row>
    <row r="5" spans="2:39" ht="15" thickBot="1" x14ac:dyDescent="0.4">
      <c r="C5" s="43" t="s">
        <v>31</v>
      </c>
      <c r="D5" s="64">
        <f>SLOPE($C$3:$C$4,D3:D4)</f>
        <v>-0.25</v>
      </c>
      <c r="E5" s="44">
        <f>D5*2</f>
        <v>-0.5</v>
      </c>
      <c r="F5" s="44">
        <f>SLOPE($C$3:$C$4,F3:F4)</f>
        <v>0.25</v>
      </c>
      <c r="S5" s="9" t="s">
        <v>55</v>
      </c>
    </row>
    <row r="6" spans="2:39" ht="15" thickBot="1" x14ac:dyDescent="0.4">
      <c r="C6" s="43" t="s">
        <v>52</v>
      </c>
      <c r="D6" s="15">
        <v>6</v>
      </c>
      <c r="E6" s="44">
        <f>aD</f>
        <v>6</v>
      </c>
      <c r="F6" s="15">
        <v>0</v>
      </c>
    </row>
    <row r="7" spans="2:39" ht="15" thickBot="1" x14ac:dyDescent="0.4">
      <c r="C7" s="9" t="s">
        <v>72</v>
      </c>
      <c r="D7" s="9">
        <v>4</v>
      </c>
      <c r="H7" s="45" t="s">
        <v>48</v>
      </c>
      <c r="I7" s="45" t="s">
        <v>22</v>
      </c>
    </row>
    <row r="8" spans="2:39" ht="15" thickBot="1" x14ac:dyDescent="0.4">
      <c r="G8" s="66" t="s">
        <v>50</v>
      </c>
      <c r="H8" s="62">
        <f>(aMR-aMC)/(bMC-bMR)</f>
        <v>8</v>
      </c>
      <c r="I8" s="65">
        <f>(aD-aMC)/(bMC-bD)</f>
        <v>12</v>
      </c>
      <c r="S8" s="9" t="str">
        <f ca="1">_xlfn.FORMULATEXT(H8)</f>
        <v>=(aMR-aMC)/(bMC-bMR)</v>
      </c>
    </row>
    <row r="9" spans="2:39" ht="15" thickBot="1" x14ac:dyDescent="0.4">
      <c r="G9" s="66" t="s">
        <v>51</v>
      </c>
      <c r="H9" s="63">
        <f>aD+bD*q_prime</f>
        <v>4</v>
      </c>
      <c r="I9" s="63">
        <f>aD+bD*I8</f>
        <v>3</v>
      </c>
      <c r="S9" s="9" t="str">
        <f ca="1">_xlfn.FORMULATEXT(H9)</f>
        <v>=aD+bD*q_prime</v>
      </c>
    </row>
    <row r="10" spans="2:39" ht="15" thickBot="1" x14ac:dyDescent="0.4">
      <c r="G10" s="66" t="s">
        <v>3</v>
      </c>
      <c r="H10" s="63">
        <f>I9*q_prime</f>
        <v>24</v>
      </c>
      <c r="I10" s="63">
        <f>J9*I8</f>
        <v>0</v>
      </c>
    </row>
    <row r="11" spans="2:39" ht="15" thickBot="1" x14ac:dyDescent="0.4"/>
    <row r="12" spans="2:39" ht="15" thickBot="1" x14ac:dyDescent="0.4">
      <c r="B12" s="17" t="s">
        <v>56</v>
      </c>
      <c r="C12" s="17"/>
      <c r="D12" s="17"/>
      <c r="E12" s="17" t="s">
        <v>3</v>
      </c>
      <c r="F12" s="17" t="s">
        <v>69</v>
      </c>
      <c r="G12" s="17" t="s">
        <v>70</v>
      </c>
      <c r="H12" s="17" t="s">
        <v>75</v>
      </c>
      <c r="I12" s="17" t="s">
        <v>74</v>
      </c>
      <c r="J12" s="17" t="s">
        <v>73</v>
      </c>
      <c r="K12" s="17" t="s">
        <v>0</v>
      </c>
    </row>
    <row r="13" spans="2:39" ht="15" thickBot="1" x14ac:dyDescent="0.4">
      <c r="C13" s="31" t="s">
        <v>34</v>
      </c>
      <c r="D13" s="31" t="s">
        <v>53</v>
      </c>
      <c r="E13" s="31" t="str">
        <f ca="1">_xlfn.FORMULATEXT(E14)</f>
        <v>=q*price</v>
      </c>
      <c r="F13" s="31" t="str">
        <f ca="1">_xlfn.FORMULATEXT(F14)</f>
        <v>=aMR + bMR * q</v>
      </c>
      <c r="G13" s="31" t="str">
        <f ca="1">_xlfn.FORMULATEXT(G14)</f>
        <v>=aMC + bMC * q</v>
      </c>
      <c r="H13" s="31" t="s">
        <v>48</v>
      </c>
      <c r="I13" s="31" t="s">
        <v>22</v>
      </c>
      <c r="J13" s="31" t="str">
        <f ca="1">_xlfn.FORMULATEXT(J14)</f>
        <v>=q*costs_marg</v>
      </c>
      <c r="K13" s="31" t="str">
        <f ca="1">_xlfn.FORMULATEXT(K14)</f>
        <v>=rev-costs</v>
      </c>
    </row>
    <row r="14" spans="2:39" ht="15" thickBot="1" x14ac:dyDescent="0.4">
      <c r="C14" s="35">
        <v>0</v>
      </c>
      <c r="D14" s="35">
        <f>aD+bD*C14</f>
        <v>6</v>
      </c>
      <c r="E14" s="24" cm="1">
        <f t="array" ref="E14:E18">q*price</f>
        <v>0</v>
      </c>
      <c r="F14" s="47" cm="1">
        <f t="array" ref="F14:F18">aMR + bMR * q</f>
        <v>6</v>
      </c>
      <c r="G14" s="24" cm="1">
        <f t="array" ref="G14:G18">aMC + bMC * q</f>
        <v>0</v>
      </c>
      <c r="H14" s="26" t="str">
        <f>IF(AND(F14&gt;=G14,F15&lt;G15),"&lt;-- MR=MC","")</f>
        <v/>
      </c>
      <c r="I14" s="26" t="str">
        <f>IF(AND(D14&gt;=G14,D15&lt;G15),"&lt;-- P=MC","")</f>
        <v/>
      </c>
      <c r="J14" s="26" cm="1">
        <f t="array" ref="J14:J18">q*costs_marg</f>
        <v>0</v>
      </c>
      <c r="K14" s="26" cm="1">
        <f t="array" ref="K14:K18">rev-costs</f>
        <v>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2:39" ht="15" thickBot="1" x14ac:dyDescent="0.4">
      <c r="C15" s="35">
        <f>C14+$D$7</f>
        <v>4</v>
      </c>
      <c r="D15" s="35">
        <f>aD+bD*C15</f>
        <v>5</v>
      </c>
      <c r="E15" s="24">
        <v>20</v>
      </c>
      <c r="F15" s="47">
        <v>4</v>
      </c>
      <c r="G15" s="24">
        <v>1</v>
      </c>
      <c r="H15" s="26" t="str">
        <f>IF(AND(F15&gt;=G15,F16&lt;G16),"&lt;-- MR=MC","")</f>
        <v/>
      </c>
      <c r="I15" s="26" t="str">
        <f>IF(AND(D15&gt;=G15,D16&lt;G16),"&lt;-- P=MC","")</f>
        <v/>
      </c>
      <c r="J15" s="26">
        <v>4</v>
      </c>
      <c r="K15" s="26">
        <v>16</v>
      </c>
      <c r="O15" s="27"/>
    </row>
    <row r="16" spans="2:39" ht="15" thickBot="1" x14ac:dyDescent="0.4">
      <c r="C16" s="35">
        <f>C15+$D$7</f>
        <v>8</v>
      </c>
      <c r="D16" s="35">
        <f>aD+bD*C16</f>
        <v>4</v>
      </c>
      <c r="E16" s="24">
        <v>32</v>
      </c>
      <c r="F16" s="47">
        <v>2</v>
      </c>
      <c r="G16" s="24">
        <v>2</v>
      </c>
      <c r="H16" s="26" t="str">
        <f>IF(AND(F16&gt;=G16,F17&lt;G17),"&lt;-- MR=MC","")</f>
        <v>&lt;-- MR=MC</v>
      </c>
      <c r="I16" s="26" t="str">
        <f>IF(AND(D16&gt;=G16,D17&lt;G17),"&lt;-- P=MC","")</f>
        <v/>
      </c>
      <c r="J16" s="26">
        <v>16</v>
      </c>
      <c r="K16" s="26">
        <v>16</v>
      </c>
      <c r="O16" s="27"/>
    </row>
    <row r="17" spans="3:15" ht="15" thickBot="1" x14ac:dyDescent="0.4">
      <c r="C17" s="35">
        <f>C16+$D$7</f>
        <v>12</v>
      </c>
      <c r="D17" s="35">
        <f>aD+bD*C17</f>
        <v>3</v>
      </c>
      <c r="E17" s="24">
        <v>36</v>
      </c>
      <c r="F17" s="47">
        <v>0</v>
      </c>
      <c r="G17" s="24">
        <v>3</v>
      </c>
      <c r="H17" s="26" t="str">
        <f>IF(AND(F17&gt;=G17,F18&lt;G18),"&lt;-- MR=MC","")</f>
        <v/>
      </c>
      <c r="I17" s="26" t="str">
        <f>IF(AND(D17&gt;=G17,D18&lt;G18),"&lt;-- P=MC","")</f>
        <v>&lt;-- P=MC</v>
      </c>
      <c r="J17" s="26">
        <v>36</v>
      </c>
      <c r="K17" s="26">
        <v>0</v>
      </c>
      <c r="O17" s="27"/>
    </row>
    <row r="18" spans="3:15" ht="15" thickBot="1" x14ac:dyDescent="0.4">
      <c r="C18" s="35">
        <f>C17+$D$7</f>
        <v>16</v>
      </c>
      <c r="D18" s="35">
        <f>aD+bD*C18</f>
        <v>2</v>
      </c>
      <c r="E18" s="24">
        <v>32</v>
      </c>
      <c r="F18" s="47">
        <v>-2</v>
      </c>
      <c r="G18" s="24">
        <v>4</v>
      </c>
      <c r="H18" s="26" t="str">
        <f>IF(AND(F18&gt;=G18,F19&lt;G19),"&lt;-- MR=MC","")</f>
        <v/>
      </c>
      <c r="I18" s="26" t="str">
        <f>IF(AND(D18&gt;=G18,D19&lt;G19),"&lt;-- P=MC","")</f>
        <v/>
      </c>
      <c r="J18" s="26">
        <v>64</v>
      </c>
      <c r="K18" s="26">
        <v>-32</v>
      </c>
      <c r="O18" s="27"/>
    </row>
  </sheetData>
  <mergeCells count="1">
    <mergeCell ref="D1:F1"/>
  </mergeCells>
  <conditionalFormatting sqref="C14:K18">
    <cfRule type="expression" dxfId="15" priority="42">
      <formula>$C14=$H$8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C40C-BAE2-48D4-BBB2-BE143AF9EE71}">
  <dimension ref="B2:H9"/>
  <sheetViews>
    <sheetView workbookViewId="0">
      <selection activeCell="D7" sqref="D7"/>
    </sheetView>
  </sheetViews>
  <sheetFormatPr defaultRowHeight="14.5" x14ac:dyDescent="0.35"/>
  <cols>
    <col min="1" max="1" width="8.7265625" style="73"/>
    <col min="2" max="2" width="6.54296875" style="73" bestFit="1" customWidth="1"/>
    <col min="3" max="4" width="9.36328125" style="73" bestFit="1" customWidth="1"/>
    <col min="5" max="5" width="12.6328125" style="73" bestFit="1" customWidth="1"/>
    <col min="6" max="7" width="9.36328125" style="73" bestFit="1" customWidth="1"/>
    <col min="8" max="8" width="7.453125" style="73" bestFit="1" customWidth="1"/>
    <col min="9" max="16384" width="8.7265625" style="73"/>
  </cols>
  <sheetData>
    <row r="2" spans="2:8" x14ac:dyDescent="0.35">
      <c r="C2" s="77" t="s">
        <v>90</v>
      </c>
      <c r="D2" s="77" t="s">
        <v>89</v>
      </c>
      <c r="E2" s="77"/>
      <c r="F2" s="77" t="s">
        <v>89</v>
      </c>
      <c r="G2" s="77" t="s">
        <v>91</v>
      </c>
    </row>
    <row r="3" spans="2:8" x14ac:dyDescent="0.35">
      <c r="B3" s="72" t="s">
        <v>82</v>
      </c>
      <c r="C3" s="75">
        <v>55</v>
      </c>
      <c r="D3" s="75">
        <v>45</v>
      </c>
      <c r="E3" s="77"/>
      <c r="F3" s="75">
        <v>35</v>
      </c>
      <c r="G3" s="75">
        <v>45</v>
      </c>
    </row>
    <row r="4" spans="2:8" x14ac:dyDescent="0.35">
      <c r="B4" s="72" t="s">
        <v>83</v>
      </c>
      <c r="C4" s="75">
        <v>10</v>
      </c>
      <c r="D4" s="75">
        <v>10</v>
      </c>
      <c r="E4" s="77"/>
      <c r="F4" s="75">
        <v>10</v>
      </c>
      <c r="G4" s="75">
        <v>10</v>
      </c>
    </row>
    <row r="5" spans="2:8" x14ac:dyDescent="0.35">
      <c r="B5" s="72" t="s">
        <v>84</v>
      </c>
      <c r="C5" s="75">
        <v>55</v>
      </c>
      <c r="D5" s="75">
        <v>35</v>
      </c>
      <c r="E5" s="77"/>
      <c r="F5" s="75">
        <v>35</v>
      </c>
      <c r="G5" s="75">
        <v>55</v>
      </c>
    </row>
    <row r="6" spans="2:8" x14ac:dyDescent="0.35">
      <c r="B6" s="72" t="s">
        <v>85</v>
      </c>
      <c r="C6" s="76">
        <v>70</v>
      </c>
      <c r="D6" s="76">
        <v>70</v>
      </c>
      <c r="E6" s="77"/>
      <c r="F6" s="76">
        <v>70</v>
      </c>
      <c r="G6" s="76">
        <v>70</v>
      </c>
      <c r="H6" s="73" t="s">
        <v>48</v>
      </c>
    </row>
    <row r="7" spans="2:8" x14ac:dyDescent="0.35">
      <c r="B7" s="72" t="s">
        <v>86</v>
      </c>
      <c r="C7" s="74">
        <f>C5*C6</f>
        <v>3850</v>
      </c>
      <c r="D7" s="74">
        <f>D5*D6</f>
        <v>2450</v>
      </c>
      <c r="E7" s="78" t="s">
        <v>92</v>
      </c>
      <c r="F7" s="74">
        <f>F5*F6</f>
        <v>2450</v>
      </c>
      <c r="G7" s="74">
        <f>G5*G6</f>
        <v>3850</v>
      </c>
    </row>
    <row r="8" spans="2:8" x14ac:dyDescent="0.35">
      <c r="B8" s="72" t="s">
        <v>87</v>
      </c>
      <c r="C8" s="74">
        <f>C3*C6</f>
        <v>3850</v>
      </c>
      <c r="D8" s="74">
        <f>D3*D6</f>
        <v>3150</v>
      </c>
      <c r="E8" s="78" t="s">
        <v>93</v>
      </c>
      <c r="F8" s="74">
        <f>F3*F6</f>
        <v>2450</v>
      </c>
      <c r="G8" s="74">
        <f>G3*G6</f>
        <v>3150</v>
      </c>
    </row>
    <row r="9" spans="2:8" x14ac:dyDescent="0.35">
      <c r="B9" s="72" t="s">
        <v>88</v>
      </c>
      <c r="C9" s="74">
        <f>(C3-C5)*C6</f>
        <v>0</v>
      </c>
      <c r="D9" s="74">
        <f>(D3-D5)*D6</f>
        <v>700</v>
      </c>
      <c r="E9" s="78" t="s">
        <v>94</v>
      </c>
      <c r="F9" s="74">
        <f>(F3-F5)*F6</f>
        <v>0</v>
      </c>
      <c r="G9" s="74">
        <f>(G3-G5)*G6</f>
        <v>-700</v>
      </c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664A-93BC-4D15-A57F-F011F1B4EC01}">
  <dimension ref="B2:O46"/>
  <sheetViews>
    <sheetView tabSelected="1" topLeftCell="A12" zoomScaleNormal="100" workbookViewId="0">
      <selection activeCell="E40" sqref="E40"/>
    </sheetView>
  </sheetViews>
  <sheetFormatPr defaultColWidth="2.26953125" defaultRowHeight="14.5" x14ac:dyDescent="0.35"/>
  <cols>
    <col min="1" max="1" width="2.26953125" style="9"/>
    <col min="2" max="2" width="22.36328125" style="9" bestFit="1" customWidth="1"/>
    <col min="3" max="3" width="16.453125" style="9" bestFit="1" customWidth="1"/>
    <col min="4" max="4" width="11" style="9" bestFit="1" customWidth="1"/>
    <col min="5" max="5" width="15.1796875" style="9" bestFit="1" customWidth="1"/>
    <col min="6" max="6" width="14.54296875" style="9" bestFit="1" customWidth="1"/>
    <col min="7" max="7" width="15.81640625" style="9" bestFit="1" customWidth="1"/>
    <col min="8" max="8" width="13.08984375" style="9" bestFit="1" customWidth="1"/>
    <col min="9" max="9" width="15.81640625" style="9" bestFit="1" customWidth="1"/>
    <col min="10" max="10" width="16.453125" style="9" bestFit="1" customWidth="1"/>
    <col min="11" max="11" width="7.453125" style="9" bestFit="1" customWidth="1"/>
    <col min="12" max="12" width="7.54296875" style="9" bestFit="1" customWidth="1"/>
    <col min="13" max="13" width="11.08984375" style="105" bestFit="1" customWidth="1"/>
    <col min="14" max="14" width="13.81640625" style="9" bestFit="1" customWidth="1"/>
    <col min="15" max="15" width="26.54296875" style="9" customWidth="1"/>
    <col min="16" max="16" width="19.7265625" style="9" customWidth="1"/>
    <col min="17" max="17" width="10" style="9" bestFit="1" customWidth="1"/>
    <col min="18" max="18" width="3.54296875" style="9" bestFit="1" customWidth="1"/>
    <col min="19" max="19" width="15.7265625" style="9" bestFit="1" customWidth="1"/>
    <col min="20" max="16384" width="2.26953125" style="9"/>
  </cols>
  <sheetData>
    <row r="2" spans="2:15" x14ac:dyDescent="0.35">
      <c r="B2" s="10" t="s">
        <v>20</v>
      </c>
      <c r="L2" s="94"/>
      <c r="M2" s="160"/>
      <c r="N2" s="160"/>
      <c r="O2" s="160"/>
    </row>
    <row r="3" spans="2:15" x14ac:dyDescent="0.35">
      <c r="B3" s="11" t="s">
        <v>8</v>
      </c>
    </row>
    <row r="4" spans="2:15" x14ac:dyDescent="0.35">
      <c r="B4" s="12" t="s">
        <v>1</v>
      </c>
    </row>
    <row r="5" spans="2:15" x14ac:dyDescent="0.35">
      <c r="B5" s="13" t="s">
        <v>10</v>
      </c>
    </row>
    <row r="6" spans="2:15" x14ac:dyDescent="0.35">
      <c r="B6" s="14" t="s">
        <v>21</v>
      </c>
    </row>
    <row r="9" spans="2:15" x14ac:dyDescent="0.35">
      <c r="B9" s="163" t="s">
        <v>122</v>
      </c>
      <c r="C9" s="3" t="s">
        <v>26</v>
      </c>
      <c r="D9" s="3" t="s">
        <v>38</v>
      </c>
      <c r="E9" s="3" t="s">
        <v>40</v>
      </c>
      <c r="F9" s="3" t="s">
        <v>38</v>
      </c>
      <c r="G9" s="3" t="s">
        <v>43</v>
      </c>
      <c r="H9" s="3" t="s">
        <v>121</v>
      </c>
    </row>
    <row r="10" spans="2:15" x14ac:dyDescent="0.35">
      <c r="B10" s="163"/>
      <c r="C10" s="5" t="s">
        <v>123</v>
      </c>
      <c r="D10" s="5" t="s">
        <v>39</v>
      </c>
      <c r="E10" s="5" t="s">
        <v>9</v>
      </c>
      <c r="F10" s="5" t="s">
        <v>123</v>
      </c>
      <c r="G10" s="5" t="s">
        <v>44</v>
      </c>
      <c r="H10" s="5" t="s">
        <v>120</v>
      </c>
    </row>
    <row r="11" spans="2:15" x14ac:dyDescent="0.35">
      <c r="B11" s="2" t="s">
        <v>36</v>
      </c>
      <c r="C11" s="117">
        <v>270</v>
      </c>
      <c r="D11" s="90">
        <v>86</v>
      </c>
      <c r="E11" s="89">
        <f>D11/$D$13</f>
        <v>0.89583333333333337</v>
      </c>
      <c r="F11" s="90">
        <v>2.5</v>
      </c>
      <c r="G11" s="118">
        <f>D11/F11*1000000</f>
        <v>34400000</v>
      </c>
      <c r="I11" s="69"/>
    </row>
    <row r="12" spans="2:15" x14ac:dyDescent="0.35">
      <c r="B12" s="2" t="s">
        <v>98</v>
      </c>
      <c r="C12" s="117">
        <f>C11-150</f>
        <v>120</v>
      </c>
      <c r="D12" s="90">
        <v>10</v>
      </c>
      <c r="E12" s="89">
        <f>D12/$D$13</f>
        <v>0.10416666666666667</v>
      </c>
      <c r="F12" s="90">
        <v>2.5</v>
      </c>
      <c r="G12" s="118">
        <f>D12/F12*1000000</f>
        <v>4000000</v>
      </c>
    </row>
    <row r="13" spans="2:15" x14ac:dyDescent="0.35">
      <c r="C13" s="91" t="s">
        <v>5</v>
      </c>
      <c r="D13" s="86">
        <f>SUM(D11:D12)</f>
        <v>96</v>
      </c>
      <c r="E13" s="89">
        <f>D13/$D$13</f>
        <v>1</v>
      </c>
      <c r="F13" s="90">
        <v>2.5</v>
      </c>
      <c r="G13" s="118">
        <f>D13/F13*1000000</f>
        <v>38400000</v>
      </c>
      <c r="I13" s="3" t="s">
        <v>104</v>
      </c>
    </row>
    <row r="14" spans="2:15" x14ac:dyDescent="0.35">
      <c r="B14" s="2" t="s">
        <v>45</v>
      </c>
      <c r="C14" s="117">
        <v>107.99</v>
      </c>
      <c r="D14" s="98">
        <f>D11</f>
        <v>86</v>
      </c>
      <c r="H14" s="92">
        <v>0.26417200000000002</v>
      </c>
      <c r="I14" s="87">
        <f>D11*H14*1000000</f>
        <v>22718792</v>
      </c>
      <c r="K14" s="39"/>
    </row>
    <row r="15" spans="2:15" ht="15" thickBot="1" x14ac:dyDescent="0.4"/>
    <row r="16" spans="2:15" ht="15" thickBot="1" x14ac:dyDescent="0.4">
      <c r="B16" s="156" t="s">
        <v>124</v>
      </c>
      <c r="C16" s="157"/>
      <c r="E16" s="164" t="s">
        <v>136</v>
      </c>
      <c r="F16" s="165"/>
      <c r="G16" s="105"/>
      <c r="H16" s="105"/>
      <c r="I16" s="105"/>
    </row>
    <row r="17" spans="2:14" ht="15" thickBot="1" x14ac:dyDescent="0.4">
      <c r="B17" s="158" t="s">
        <v>118</v>
      </c>
      <c r="C17" s="159"/>
      <c r="E17" s="139" t="s">
        <v>107</v>
      </c>
      <c r="F17" s="129">
        <f>SLOPE(corn_MC,corn_Q)</f>
        <v>2.9327272727272727E-5</v>
      </c>
      <c r="G17" s="160" t="str">
        <f t="shared" ref="G17:G22" ca="1" si="0">_xlfn.FORMULATEXT(F17)</f>
        <v>=SLOPE(corn_MC,corn_Q)</v>
      </c>
      <c r="H17" s="160"/>
      <c r="I17" s="160"/>
    </row>
    <row r="18" spans="2:14" x14ac:dyDescent="0.35">
      <c r="B18" s="137" t="s">
        <v>116</v>
      </c>
      <c r="C18" s="134">
        <v>1</v>
      </c>
      <c r="E18" s="139" t="s">
        <v>108</v>
      </c>
      <c r="F18" s="122">
        <f>L32</f>
        <v>0</v>
      </c>
      <c r="G18" s="160" t="str">
        <f t="shared" ca="1" si="0"/>
        <v>=L32</v>
      </c>
      <c r="H18" s="160"/>
      <c r="I18" s="160"/>
    </row>
    <row r="19" spans="2:14" x14ac:dyDescent="0.35">
      <c r="B19" s="137" t="s">
        <v>119</v>
      </c>
      <c r="C19" s="135">
        <f>C20/1000000</f>
        <v>1.5E-5</v>
      </c>
      <c r="E19" s="119" t="s">
        <v>109</v>
      </c>
      <c r="F19" s="123">
        <f>corn_P / corn_MC_slope</f>
        <v>4091754.4947303161</v>
      </c>
      <c r="G19" s="160" t="str">
        <f t="shared" ca="1" si="0"/>
        <v>=corn_P / corn_MC_slope</v>
      </c>
      <c r="H19" s="160"/>
      <c r="I19" s="160"/>
    </row>
    <row r="20" spans="2:14" ht="15" thickBot="1" x14ac:dyDescent="0.4">
      <c r="B20" s="137" t="s">
        <v>117</v>
      </c>
      <c r="C20" s="136">
        <v>15</v>
      </c>
      <c r="E20" s="140" t="s">
        <v>112</v>
      </c>
      <c r="F20" s="124">
        <f>corn_Output_optimal * corn_P</f>
        <v>491010539.36763793</v>
      </c>
      <c r="G20" s="160" t="str">
        <f t="shared" ca="1" si="0"/>
        <v>=corn_Output_optimal * corn_P</v>
      </c>
      <c r="H20" s="160"/>
      <c r="I20" s="160"/>
    </row>
    <row r="21" spans="2:14" ht="15" thickBot="1" x14ac:dyDescent="0.4">
      <c r="B21" s="158" t="s">
        <v>125</v>
      </c>
      <c r="C21" s="159"/>
      <c r="E21" s="139" t="s">
        <v>128</v>
      </c>
      <c r="F21" s="124">
        <f>corn_MR_int + corn_MR_slope * corn_Output_optimal</f>
        <v>120</v>
      </c>
      <c r="G21" s="160" t="str">
        <f t="shared" ca="1" si="0"/>
        <v>=corn_MR_int + corn_MR_slope * corn_Output_optimal</v>
      </c>
      <c r="H21" s="160"/>
      <c r="I21" s="160"/>
    </row>
    <row r="22" spans="2:14" x14ac:dyDescent="0.35">
      <c r="B22" s="120" t="s">
        <v>132</v>
      </c>
      <c r="C22" s="129">
        <f>C26/1000000</f>
        <v>0</v>
      </c>
      <c r="E22" s="139" t="s">
        <v>111</v>
      </c>
      <c r="F22" s="124">
        <f>corn_MC_intercept + corn_MC_slope * corn_Output_optimal</f>
        <v>120</v>
      </c>
      <c r="G22" s="160" t="str">
        <f t="shared" ca="1" si="0"/>
        <v>=corn_MC_intercept + corn_MC_slope * corn_Output_optimal</v>
      </c>
      <c r="H22" s="160"/>
      <c r="I22" s="160"/>
    </row>
    <row r="23" spans="2:14" x14ac:dyDescent="0.35">
      <c r="B23" s="120" t="s">
        <v>133</v>
      </c>
      <c r="C23" s="130">
        <f>corn_D_slope*2</f>
        <v>0</v>
      </c>
      <c r="E23" s="139" t="s">
        <v>110</v>
      </c>
      <c r="F23" s="124">
        <f>corn_FC</f>
        <v>130000000</v>
      </c>
    </row>
    <row r="24" spans="2:14" x14ac:dyDescent="0.35">
      <c r="B24" s="120" t="s">
        <v>126</v>
      </c>
      <c r="C24" s="131">
        <v>120</v>
      </c>
      <c r="E24" s="139" t="s">
        <v>114</v>
      </c>
      <c r="F24" s="124">
        <f>corn_FC + corn_MC_optimal * corn_Output_optimal</f>
        <v>621010539.36763787</v>
      </c>
      <c r="G24" s="161" t="str">
        <f ca="1">_xlfn.FORMULATEXT(F24)</f>
        <v>=corn_FC + corn_MC_optimal * corn_Output_optimal</v>
      </c>
      <c r="H24" s="162"/>
      <c r="I24" s="162"/>
    </row>
    <row r="25" spans="2:14" x14ac:dyDescent="0.35">
      <c r="B25" s="127" t="s">
        <v>129</v>
      </c>
      <c r="C25" s="132">
        <f>corn_D_int</f>
        <v>120</v>
      </c>
      <c r="E25" s="119" t="s">
        <v>115</v>
      </c>
      <c r="F25" s="125">
        <f>corn_Revenue_optimal - corn_TC_optimal</f>
        <v>-129999999.99999994</v>
      </c>
      <c r="G25" s="107" t="str">
        <f ca="1">_xlfn.FORMULATEXT(F25)</f>
        <v>=corn_Revenue_optimal - corn_TC_optimal</v>
      </c>
      <c r="H25" s="107"/>
      <c r="I25" s="107"/>
    </row>
    <row r="26" spans="2:14" ht="15" thickBot="1" x14ac:dyDescent="0.4">
      <c r="B26" s="128" t="s">
        <v>134</v>
      </c>
      <c r="C26" s="133">
        <f>SLOPE({120,120},{4000000,1})*1000000</f>
        <v>0</v>
      </c>
      <c r="E26" s="121" t="s">
        <v>130</v>
      </c>
      <c r="F26" s="126">
        <f>corn_D_int + corn_D_slope * corn_Output_optimal</f>
        <v>120</v>
      </c>
      <c r="G26" s="107" t="str">
        <f ca="1">_xlfn.FORMULATEXT(F26)</f>
        <v>=corn_D_int + corn_D_slope * corn_Output_optimal</v>
      </c>
      <c r="H26" s="107"/>
      <c r="I26" s="107"/>
    </row>
    <row r="29" spans="2:14" x14ac:dyDescent="0.35">
      <c r="E29" s="141" t="str">
        <f ca="1">_xlfn.FORMULATEXT(E32)</f>
        <v>=corn_D_int+corn_D_slope*corn_Q</v>
      </c>
      <c r="G29" s="142" t="str">
        <f ca="1">_xlfn.FORMULATEXT(G32)</f>
        <v>=corn_aQ*corn_Q+corn_bQ2*corn_Q^2</v>
      </c>
    </row>
    <row r="30" spans="2:14" ht="16.5" thickBot="1" x14ac:dyDescent="0.4">
      <c r="C30" s="1" t="s">
        <v>2</v>
      </c>
      <c r="D30" s="9" t="s">
        <v>42</v>
      </c>
      <c r="E30" s="143" t="s">
        <v>139</v>
      </c>
      <c r="F30" s="16" t="s">
        <v>138</v>
      </c>
      <c r="G30" s="138"/>
      <c r="I30" s="16" t="s">
        <v>137</v>
      </c>
      <c r="J30" s="16" t="s">
        <v>142</v>
      </c>
      <c r="K30" s="16" t="s">
        <v>135</v>
      </c>
      <c r="L30" s="16" t="s">
        <v>103</v>
      </c>
      <c r="M30" s="105" t="s">
        <v>74</v>
      </c>
    </row>
    <row r="31" spans="2:14" s="16" customFormat="1" ht="15" thickBot="1" x14ac:dyDescent="0.4">
      <c r="C31" s="17" t="s">
        <v>29</v>
      </c>
      <c r="D31" s="17" t="s">
        <v>34</v>
      </c>
      <c r="E31" s="17" t="s">
        <v>53</v>
      </c>
      <c r="F31" s="17" t="s">
        <v>3</v>
      </c>
      <c r="G31" s="17" t="s">
        <v>143</v>
      </c>
      <c r="H31" s="17" t="s">
        <v>144</v>
      </c>
      <c r="I31" s="17" t="s">
        <v>79</v>
      </c>
      <c r="J31" s="17" t="s">
        <v>0</v>
      </c>
      <c r="K31" s="17" t="s">
        <v>33</v>
      </c>
      <c r="L31" s="17" t="s">
        <v>54</v>
      </c>
      <c r="M31" s="17" t="s">
        <v>131</v>
      </c>
      <c r="N31" s="17" t="s">
        <v>28</v>
      </c>
    </row>
    <row r="32" spans="2:14" ht="15" thickBot="1" x14ac:dyDescent="0.4">
      <c r="D32" s="149">
        <v>0</v>
      </c>
      <c r="E32" s="150" cm="1">
        <f t="array" ref="E32:E42">corn_D_int+corn_D_slope*corn_Q</f>
        <v>120</v>
      </c>
      <c r="F32" s="150" cm="1">
        <f t="array" ref="F32:F42">corn_Q*corn_P</f>
        <v>0</v>
      </c>
      <c r="G32" s="151" cm="1">
        <f t="array" ref="G32:G42">corn_aQ*corn_Q+corn_bQ2*corn_Q^2</f>
        <v>0</v>
      </c>
      <c r="H32" s="152">
        <v>130000000</v>
      </c>
      <c r="I32" s="151" cm="1">
        <f t="array" ref="I32:I42">corn_VC+corn_FC</f>
        <v>130000000</v>
      </c>
      <c r="J32" s="151" cm="1">
        <f t="array" ref="J32:J42">corn_Revenue-corn_TC</f>
        <v>-130000000</v>
      </c>
      <c r="K32" s="151" t="str">
        <f>IFERROR((F32-IF(ISNUMBER(F31),F31,0))/(D32-IF(ISNUMBER(D31),D31,0)),"")</f>
        <v/>
      </c>
      <c r="L32" s="153">
        <f>IFERROR((I32-I31)/(D32-D31),0)</f>
        <v>0</v>
      </c>
      <c r="M32" s="154" t="str">
        <f t="shared" ref="M32:M42" si="1">IF($M$30="Imperfect",(IF(AND(K32&gt;L32,K33&lt;=L33),"&lt;-- MR ~ MC","")),(IF(AND($C$12&gt;L32,$C$12&lt;=L33),"&lt;-- P ~ MC","")))</f>
        <v/>
      </c>
      <c r="N32" s="155"/>
    </row>
    <row r="33" spans="3:14" ht="15" thickBot="1" x14ac:dyDescent="0.4">
      <c r="C33" s="98"/>
      <c r="D33" s="155">
        <f>D32+5000000</f>
        <v>5000000</v>
      </c>
      <c r="E33" s="150">
        <v>120</v>
      </c>
      <c r="F33" s="150">
        <v>600000000</v>
      </c>
      <c r="G33" s="151">
        <v>380000000</v>
      </c>
      <c r="H33" s="150">
        <f t="shared" ref="H33:H42" si="2">corn_FC</f>
        <v>130000000</v>
      </c>
      <c r="I33" s="151">
        <v>510000000</v>
      </c>
      <c r="J33" s="151">
        <v>90000000</v>
      </c>
      <c r="K33" s="151">
        <f t="shared" ref="K33:K42" si="3">IFERROR((F33-IF(ISNUMBER(F32),F32,0))/(D33-IF(ISNUMBER(D32),D32,0)),"")</f>
        <v>120</v>
      </c>
      <c r="L33" s="153">
        <f>IFERROR((I33-I32)/(D33-D32),0)</f>
        <v>76</v>
      </c>
      <c r="M33" s="154" t="str">
        <f t="shared" si="1"/>
        <v>&lt;-- P ~ MC</v>
      </c>
      <c r="N33" s="155">
        <f t="shared" ref="N33:N42" si="4">(D33+D32)/2</f>
        <v>2500000</v>
      </c>
    </row>
    <row r="34" spans="3:14" ht="15" thickBot="1" x14ac:dyDescent="0.4">
      <c r="C34" s="98"/>
      <c r="D34" s="155">
        <f t="shared" ref="D34:D42" si="5">D33+5000000</f>
        <v>10000000</v>
      </c>
      <c r="E34" s="150">
        <v>120</v>
      </c>
      <c r="F34" s="150">
        <v>1200000000</v>
      </c>
      <c r="G34" s="151">
        <v>1510000000</v>
      </c>
      <c r="H34" s="150">
        <f t="shared" si="2"/>
        <v>130000000</v>
      </c>
      <c r="I34" s="151">
        <v>1640000000</v>
      </c>
      <c r="J34" s="151">
        <v>-440000000</v>
      </c>
      <c r="K34" s="151">
        <f t="shared" si="3"/>
        <v>120</v>
      </c>
      <c r="L34" s="153">
        <f t="shared" ref="L34:L42" si="6">IFERROR((I34-I33)/(D34-D33),0)</f>
        <v>226</v>
      </c>
      <c r="M34" s="154" t="str">
        <f t="shared" si="1"/>
        <v/>
      </c>
      <c r="N34" s="155">
        <f t="shared" si="4"/>
        <v>7500000</v>
      </c>
    </row>
    <row r="35" spans="3:14" ht="15" thickBot="1" x14ac:dyDescent="0.4">
      <c r="D35" s="155">
        <f t="shared" si="5"/>
        <v>15000000</v>
      </c>
      <c r="E35" s="150">
        <v>120</v>
      </c>
      <c r="F35" s="150">
        <v>1800000000</v>
      </c>
      <c r="G35" s="151">
        <v>3390000000</v>
      </c>
      <c r="H35" s="150">
        <f t="shared" si="2"/>
        <v>130000000</v>
      </c>
      <c r="I35" s="151">
        <v>3520000000</v>
      </c>
      <c r="J35" s="151">
        <v>-1720000000</v>
      </c>
      <c r="K35" s="151">
        <f t="shared" si="3"/>
        <v>120</v>
      </c>
      <c r="L35" s="153">
        <f t="shared" si="6"/>
        <v>376</v>
      </c>
      <c r="M35" s="154" t="str">
        <f t="shared" si="1"/>
        <v/>
      </c>
      <c r="N35" s="155">
        <f t="shared" si="4"/>
        <v>12500000</v>
      </c>
    </row>
    <row r="36" spans="3:14" ht="15" thickBot="1" x14ac:dyDescent="0.4">
      <c r="D36" s="155">
        <f t="shared" si="5"/>
        <v>20000000</v>
      </c>
      <c r="E36" s="150">
        <v>120</v>
      </c>
      <c r="F36" s="150">
        <v>2400000000</v>
      </c>
      <c r="G36" s="151">
        <v>6020000000</v>
      </c>
      <c r="H36" s="150">
        <f t="shared" si="2"/>
        <v>130000000</v>
      </c>
      <c r="I36" s="151">
        <v>6150000000</v>
      </c>
      <c r="J36" s="151">
        <v>-3750000000</v>
      </c>
      <c r="K36" s="151">
        <f t="shared" si="3"/>
        <v>120</v>
      </c>
      <c r="L36" s="153">
        <f t="shared" si="6"/>
        <v>526</v>
      </c>
      <c r="M36" s="154" t="str">
        <f t="shared" si="1"/>
        <v/>
      </c>
      <c r="N36" s="155">
        <f t="shared" si="4"/>
        <v>17500000</v>
      </c>
    </row>
    <row r="37" spans="3:14" ht="15" thickBot="1" x14ac:dyDescent="0.4">
      <c r="D37" s="155">
        <f t="shared" si="5"/>
        <v>25000000</v>
      </c>
      <c r="E37" s="150">
        <v>120</v>
      </c>
      <c r="F37" s="150">
        <v>3000000000</v>
      </c>
      <c r="G37" s="151">
        <v>9400000000</v>
      </c>
      <c r="H37" s="150">
        <f t="shared" si="2"/>
        <v>130000000</v>
      </c>
      <c r="I37" s="151">
        <v>9530000000</v>
      </c>
      <c r="J37" s="151">
        <v>-6530000000</v>
      </c>
      <c r="K37" s="151">
        <f t="shared" si="3"/>
        <v>120</v>
      </c>
      <c r="L37" s="153">
        <f t="shared" si="6"/>
        <v>676</v>
      </c>
      <c r="M37" s="154" t="str">
        <f t="shared" si="1"/>
        <v/>
      </c>
      <c r="N37" s="155">
        <f t="shared" si="4"/>
        <v>22500000</v>
      </c>
    </row>
    <row r="38" spans="3:14" ht="15" thickBot="1" x14ac:dyDescent="0.4">
      <c r="D38" s="155">
        <f t="shared" si="5"/>
        <v>30000000</v>
      </c>
      <c r="E38" s="150">
        <v>120</v>
      </c>
      <c r="F38" s="150">
        <v>3600000000</v>
      </c>
      <c r="G38" s="151">
        <v>13530000000</v>
      </c>
      <c r="H38" s="150">
        <f t="shared" si="2"/>
        <v>130000000</v>
      </c>
      <c r="I38" s="151">
        <v>13660000000</v>
      </c>
      <c r="J38" s="151">
        <v>-10060000000</v>
      </c>
      <c r="K38" s="151">
        <f t="shared" si="3"/>
        <v>120</v>
      </c>
      <c r="L38" s="153">
        <f t="shared" si="6"/>
        <v>826</v>
      </c>
      <c r="M38" s="154" t="str">
        <f t="shared" si="1"/>
        <v/>
      </c>
      <c r="N38" s="155">
        <f t="shared" si="4"/>
        <v>27500000</v>
      </c>
    </row>
    <row r="39" spans="3:14" ht="15" thickBot="1" x14ac:dyDescent="0.4">
      <c r="D39" s="155">
        <f t="shared" si="5"/>
        <v>35000000</v>
      </c>
      <c r="E39" s="150">
        <v>120</v>
      </c>
      <c r="F39" s="150">
        <v>4200000000</v>
      </c>
      <c r="G39" s="151">
        <v>18410000000</v>
      </c>
      <c r="H39" s="150">
        <f t="shared" si="2"/>
        <v>130000000</v>
      </c>
      <c r="I39" s="151">
        <v>18540000000</v>
      </c>
      <c r="J39" s="151">
        <v>-14340000000</v>
      </c>
      <c r="K39" s="151">
        <f t="shared" si="3"/>
        <v>120</v>
      </c>
      <c r="L39" s="153">
        <f t="shared" si="6"/>
        <v>976</v>
      </c>
      <c r="M39" s="154" t="str">
        <f t="shared" si="1"/>
        <v/>
      </c>
      <c r="N39" s="155">
        <f t="shared" si="4"/>
        <v>32500000</v>
      </c>
    </row>
    <row r="40" spans="3:14" ht="15" thickBot="1" x14ac:dyDescent="0.4">
      <c r="D40" s="155">
        <f t="shared" si="5"/>
        <v>40000000</v>
      </c>
      <c r="E40" s="150">
        <v>120</v>
      </c>
      <c r="F40" s="150">
        <v>4800000000</v>
      </c>
      <c r="G40" s="151">
        <v>24040000000</v>
      </c>
      <c r="H40" s="150">
        <f t="shared" si="2"/>
        <v>130000000</v>
      </c>
      <c r="I40" s="151">
        <v>24170000000</v>
      </c>
      <c r="J40" s="151">
        <v>-19370000000</v>
      </c>
      <c r="K40" s="151">
        <f t="shared" si="3"/>
        <v>120</v>
      </c>
      <c r="L40" s="153">
        <f t="shared" si="6"/>
        <v>1126</v>
      </c>
      <c r="M40" s="154" t="str">
        <f t="shared" si="1"/>
        <v/>
      </c>
      <c r="N40" s="155">
        <f t="shared" si="4"/>
        <v>37500000</v>
      </c>
    </row>
    <row r="41" spans="3:14" ht="15" thickBot="1" x14ac:dyDescent="0.4">
      <c r="D41" s="155">
        <f t="shared" si="5"/>
        <v>45000000</v>
      </c>
      <c r="E41" s="150">
        <v>120</v>
      </c>
      <c r="F41" s="150">
        <v>5400000000</v>
      </c>
      <c r="G41" s="151">
        <v>30420000000</v>
      </c>
      <c r="H41" s="150">
        <f t="shared" si="2"/>
        <v>130000000</v>
      </c>
      <c r="I41" s="151">
        <v>30550000000</v>
      </c>
      <c r="J41" s="151">
        <v>-25150000000</v>
      </c>
      <c r="K41" s="151">
        <f t="shared" si="3"/>
        <v>120</v>
      </c>
      <c r="L41" s="153">
        <f t="shared" si="6"/>
        <v>1276</v>
      </c>
      <c r="M41" s="154" t="str">
        <f t="shared" si="1"/>
        <v/>
      </c>
      <c r="N41" s="155">
        <f t="shared" si="4"/>
        <v>42500000</v>
      </c>
    </row>
    <row r="42" spans="3:14" ht="15" thickBot="1" x14ac:dyDescent="0.4">
      <c r="D42" s="155">
        <f t="shared" si="5"/>
        <v>50000000</v>
      </c>
      <c r="E42" s="150">
        <v>120</v>
      </c>
      <c r="F42" s="150">
        <v>6000000000</v>
      </c>
      <c r="G42" s="151">
        <v>37550000000</v>
      </c>
      <c r="H42" s="150">
        <f t="shared" si="2"/>
        <v>130000000</v>
      </c>
      <c r="I42" s="151">
        <v>37680000000</v>
      </c>
      <c r="J42" s="151">
        <v>-31680000000</v>
      </c>
      <c r="K42" s="151">
        <f t="shared" si="3"/>
        <v>120</v>
      </c>
      <c r="L42" s="153">
        <f t="shared" si="6"/>
        <v>1426</v>
      </c>
      <c r="M42" s="154" t="str">
        <f t="shared" si="1"/>
        <v/>
      </c>
      <c r="N42" s="155">
        <f t="shared" si="4"/>
        <v>47500000</v>
      </c>
    </row>
    <row r="46" spans="3:14" x14ac:dyDescent="0.35">
      <c r="N46" s="85"/>
    </row>
  </sheetData>
  <mergeCells count="13">
    <mergeCell ref="G24:I24"/>
    <mergeCell ref="B9:B10"/>
    <mergeCell ref="M2:O2"/>
    <mergeCell ref="G17:I17"/>
    <mergeCell ref="G18:I18"/>
    <mergeCell ref="G19:I19"/>
    <mergeCell ref="G20:I20"/>
    <mergeCell ref="E16:F16"/>
    <mergeCell ref="B16:C16"/>
    <mergeCell ref="B17:C17"/>
    <mergeCell ref="B21:C21"/>
    <mergeCell ref="G21:I21"/>
    <mergeCell ref="G22:I22"/>
  </mergeCells>
  <conditionalFormatting sqref="D32:N42">
    <cfRule type="expression" dxfId="14" priority="1">
      <formula>$M32&lt;&gt;""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8A78-FF28-4065-B8E7-65C95EEAB07D}">
  <dimension ref="B2:P50"/>
  <sheetViews>
    <sheetView topLeftCell="A6" workbookViewId="0">
      <selection activeCell="D32" sqref="D32:N42"/>
    </sheetView>
  </sheetViews>
  <sheetFormatPr defaultColWidth="2.26953125" defaultRowHeight="14.5" x14ac:dyDescent="0.35"/>
  <cols>
    <col min="1" max="1" width="2.26953125" style="9"/>
    <col min="2" max="2" width="22.36328125" style="9" bestFit="1" customWidth="1"/>
    <col min="3" max="3" width="16.453125" style="9" bestFit="1" customWidth="1"/>
    <col min="4" max="4" width="11" style="9" bestFit="1" customWidth="1"/>
    <col min="5" max="5" width="16.7265625" style="9" bestFit="1" customWidth="1"/>
    <col min="6" max="6" width="15.54296875" style="9" bestFit="1" customWidth="1"/>
    <col min="7" max="7" width="17.6328125" style="9" customWidth="1"/>
    <col min="8" max="8" width="13.08984375" style="9" bestFit="1" customWidth="1"/>
    <col min="9" max="10" width="14.81640625" style="9" bestFit="1" customWidth="1"/>
    <col min="11" max="11" width="8.6328125" style="9" bestFit="1" customWidth="1"/>
    <col min="12" max="12" width="13.6328125" style="9" bestFit="1" customWidth="1"/>
    <col min="13" max="13" width="12.36328125" style="105" bestFit="1" customWidth="1"/>
    <col min="14" max="14" width="13.81640625" style="9" bestFit="1" customWidth="1"/>
    <col min="15" max="15" width="26.54296875" style="9" customWidth="1"/>
    <col min="16" max="16" width="19.7265625" style="9" customWidth="1"/>
    <col min="17" max="17" width="10" style="9" bestFit="1" customWidth="1"/>
    <col min="18" max="18" width="3.54296875" style="9" bestFit="1" customWidth="1"/>
    <col min="19" max="19" width="15.7265625" style="9" bestFit="1" customWidth="1"/>
    <col min="20" max="16384" width="2.26953125" style="9"/>
  </cols>
  <sheetData>
    <row r="2" spans="2:15" x14ac:dyDescent="0.35">
      <c r="B2" s="10" t="s">
        <v>20</v>
      </c>
      <c r="L2" s="94"/>
      <c r="M2" s="160"/>
      <c r="N2" s="160"/>
      <c r="O2" s="160"/>
    </row>
    <row r="3" spans="2:15" x14ac:dyDescent="0.35">
      <c r="B3" s="11" t="s">
        <v>8</v>
      </c>
    </row>
    <row r="4" spans="2:15" x14ac:dyDescent="0.35">
      <c r="B4" s="12" t="s">
        <v>1</v>
      </c>
    </row>
    <row r="5" spans="2:15" x14ac:dyDescent="0.35">
      <c r="B5" s="13" t="s">
        <v>10</v>
      </c>
    </row>
    <row r="6" spans="2:15" x14ac:dyDescent="0.35">
      <c r="B6" s="14" t="s">
        <v>21</v>
      </c>
    </row>
    <row r="7" spans="2:15" x14ac:dyDescent="0.35">
      <c r="J7" s="115"/>
    </row>
    <row r="8" spans="2:15" x14ac:dyDescent="0.35">
      <c r="J8" s="4"/>
    </row>
    <row r="9" spans="2:15" x14ac:dyDescent="0.35">
      <c r="B9" s="163" t="s">
        <v>122</v>
      </c>
      <c r="C9" s="3" t="s">
        <v>26</v>
      </c>
      <c r="D9" s="3" t="s">
        <v>38</v>
      </c>
      <c r="E9" s="3" t="s">
        <v>40</v>
      </c>
      <c r="F9" s="3" t="s">
        <v>38</v>
      </c>
      <c r="G9" s="3" t="s">
        <v>43</v>
      </c>
      <c r="H9" s="3" t="s">
        <v>121</v>
      </c>
    </row>
    <row r="10" spans="2:15" x14ac:dyDescent="0.35">
      <c r="B10" s="163"/>
      <c r="C10" s="5" t="s">
        <v>123</v>
      </c>
      <c r="D10" s="5" t="s">
        <v>39</v>
      </c>
      <c r="E10" s="5" t="s">
        <v>9</v>
      </c>
      <c r="F10" s="5" t="s">
        <v>123</v>
      </c>
      <c r="G10" s="5" t="s">
        <v>44</v>
      </c>
      <c r="H10" s="5" t="s">
        <v>120</v>
      </c>
    </row>
    <row r="11" spans="2:15" x14ac:dyDescent="0.35">
      <c r="B11" s="2" t="s">
        <v>36</v>
      </c>
      <c r="C11" s="117">
        <v>270</v>
      </c>
      <c r="D11" s="90">
        <v>86</v>
      </c>
      <c r="E11" s="89">
        <f>D11/$D$13</f>
        <v>0.89583333333333337</v>
      </c>
      <c r="F11" s="90">
        <v>2.5</v>
      </c>
      <c r="G11" s="87">
        <f>D11/F11*1000000</f>
        <v>34400000</v>
      </c>
    </row>
    <row r="12" spans="2:15" x14ac:dyDescent="0.35">
      <c r="B12" s="2" t="s">
        <v>98</v>
      </c>
      <c r="C12" s="117">
        <f>C11-150</f>
        <v>120</v>
      </c>
      <c r="D12" s="90">
        <v>10</v>
      </c>
      <c r="E12" s="89">
        <f>D12/$D$13</f>
        <v>0.10416666666666667</v>
      </c>
      <c r="F12" s="90">
        <v>2.5</v>
      </c>
      <c r="G12" s="87">
        <f>D12/F12*1000000</f>
        <v>4000000</v>
      </c>
    </row>
    <row r="13" spans="2:15" x14ac:dyDescent="0.35">
      <c r="C13" s="91" t="s">
        <v>5</v>
      </c>
      <c r="D13" s="86">
        <f>SUM(D11:D12)</f>
        <v>96</v>
      </c>
      <c r="E13" s="89">
        <f>D13/$D$13</f>
        <v>1</v>
      </c>
      <c r="F13" s="90">
        <v>2.5</v>
      </c>
      <c r="G13" s="87">
        <f>D13/F13*1000000</f>
        <v>38400000</v>
      </c>
      <c r="I13" s="3" t="s">
        <v>104</v>
      </c>
    </row>
    <row r="14" spans="2:15" x14ac:dyDescent="0.35">
      <c r="B14" s="2" t="s">
        <v>45</v>
      </c>
      <c r="C14" s="117">
        <v>107.99</v>
      </c>
      <c r="D14" s="98">
        <f>D11</f>
        <v>86</v>
      </c>
      <c r="H14" s="92">
        <v>0.26417200000000002</v>
      </c>
      <c r="I14" s="87">
        <f>D11*H14*1000000</f>
        <v>22718792</v>
      </c>
      <c r="K14" s="39"/>
    </row>
    <row r="15" spans="2:15" ht="15" thickBot="1" x14ac:dyDescent="0.4"/>
    <row r="16" spans="2:15" ht="15" thickBot="1" x14ac:dyDescent="0.4">
      <c r="B16" s="156" t="s">
        <v>124</v>
      </c>
      <c r="C16" s="157"/>
      <c r="E16" s="164" t="s">
        <v>136</v>
      </c>
      <c r="F16" s="165"/>
      <c r="G16" s="105"/>
      <c r="H16" s="105"/>
      <c r="I16" s="105"/>
    </row>
    <row r="17" spans="2:16" ht="15" thickBot="1" x14ac:dyDescent="0.4">
      <c r="B17" s="158" t="s">
        <v>118</v>
      </c>
      <c r="C17" s="159"/>
      <c r="E17" s="139" t="s">
        <v>107</v>
      </c>
      <c r="F17" s="144">
        <f>SLOPE(cornGMO_MC,cornGMO_Q)</f>
        <v>1.9636363636363636E-6</v>
      </c>
      <c r="G17" s="170" t="str">
        <f t="shared" ref="G17:G22" ca="1" si="0">_xlfn.FORMULATEXT(F17)</f>
        <v>=SLOPE(cornGMO_MC,cornGMO_Q)</v>
      </c>
      <c r="H17" s="170"/>
      <c r="I17" s="170"/>
      <c r="L17" s="83"/>
    </row>
    <row r="18" spans="2:16" x14ac:dyDescent="0.35">
      <c r="B18" s="137" t="s">
        <v>116</v>
      </c>
      <c r="C18" s="134">
        <v>1</v>
      </c>
      <c r="E18" s="139" t="s">
        <v>108</v>
      </c>
      <c r="F18" s="122">
        <f>$L$32</f>
        <v>0</v>
      </c>
      <c r="G18" s="170" t="str">
        <f t="shared" ca="1" si="0"/>
        <v>=$L$32</v>
      </c>
      <c r="H18" s="170"/>
      <c r="I18" s="170"/>
      <c r="L18" s="83"/>
    </row>
    <row r="19" spans="2:16" x14ac:dyDescent="0.35">
      <c r="B19" s="137" t="s">
        <v>119</v>
      </c>
      <c r="C19" s="135">
        <f>C20/1000000</f>
        <v>9.9999999999999995E-7</v>
      </c>
      <c r="E19" s="119" t="s">
        <v>109</v>
      </c>
      <c r="F19" s="123">
        <f>cornGMO_MR_int / (cornGMO_MC_slope - cornGMO_MR_slope)</f>
        <v>34233780.047087327</v>
      </c>
      <c r="G19" s="170" t="str">
        <f t="shared" ca="1" si="0"/>
        <v>=cornGMO_MR_int / (cornGMO_MC_slope - cornGMO_MR_slope)</v>
      </c>
      <c r="H19" s="170"/>
      <c r="I19" s="170"/>
      <c r="L19" s="23"/>
    </row>
    <row r="20" spans="2:16" ht="15" thickBot="1" x14ac:dyDescent="0.4">
      <c r="B20" s="137" t="s">
        <v>117</v>
      </c>
      <c r="C20" s="136">
        <v>1</v>
      </c>
      <c r="E20" s="140" t="s">
        <v>112</v>
      </c>
      <c r="F20" s="124">
        <f>cornGMO_Output_optimal * cornGMO_P_optimal</f>
        <v>10137010746.012554</v>
      </c>
      <c r="G20" s="170" t="str">
        <f t="shared" ca="1" si="0"/>
        <v>=cornGMO_Output_optimal * cornGMO_P_optimal</v>
      </c>
      <c r="H20" s="170"/>
      <c r="I20" s="170"/>
    </row>
    <row r="21" spans="2:16" ht="15" thickBot="1" x14ac:dyDescent="0.4">
      <c r="B21" s="158" t="s">
        <v>125</v>
      </c>
      <c r="C21" s="159"/>
      <c r="E21" s="139" t="s">
        <v>128</v>
      </c>
      <c r="F21" s="124">
        <f>cornGMO_MR_int + cornGMO_MR_slope * cornGMO_Output_optimal</f>
        <v>67.222695365189679</v>
      </c>
      <c r="G21" s="170" t="str">
        <f t="shared" ca="1" si="0"/>
        <v>=cornGMO_MR_int + cornGMO_MR_slope * cornGMO_Output_optimal</v>
      </c>
      <c r="H21" s="170"/>
      <c r="I21" s="170"/>
    </row>
    <row r="22" spans="2:16" x14ac:dyDescent="0.35">
      <c r="B22" s="120" t="s">
        <v>99</v>
      </c>
      <c r="C22" s="129">
        <f>C26/1000000</f>
        <v>-6.6860467059897296E-6</v>
      </c>
      <c r="E22" s="139" t="s">
        <v>111</v>
      </c>
      <c r="F22" s="122">
        <f>cornGMO_MC_intercept + cornGMO_MC_slope * cornGMO_Output_optimal</f>
        <v>67.222695365189651</v>
      </c>
      <c r="G22" s="170" t="str">
        <f t="shared" ca="1" si="0"/>
        <v>=cornGMO_MC_intercept + cornGMO_MC_slope * cornGMO_Output_optimal</v>
      </c>
      <c r="H22" s="170"/>
      <c r="I22" s="170"/>
    </row>
    <row r="23" spans="2:16" x14ac:dyDescent="0.35">
      <c r="B23" s="120" t="s">
        <v>100</v>
      </c>
      <c r="C23" s="130">
        <f>cornGMO_D_slope*2</f>
        <v>-1.3372093411979459E-5</v>
      </c>
      <c r="E23" s="139" t="s">
        <v>110</v>
      </c>
      <c r="F23" s="124">
        <f>cornGMO_FC</f>
        <v>130000000</v>
      </c>
    </row>
    <row r="24" spans="2:16" x14ac:dyDescent="0.35">
      <c r="B24" s="120" t="s">
        <v>126</v>
      </c>
      <c r="C24" s="131">
        <v>525</v>
      </c>
      <c r="E24" s="139" t="s">
        <v>114</v>
      </c>
      <c r="F24" s="124">
        <f>cornGMO_FC + cornGMO_MC_optimal * cornGMO_Output_optimal</f>
        <v>2431286967.3042593</v>
      </c>
      <c r="G24" s="170" t="str">
        <f ca="1">_xlfn.FORMULATEXT(F24)</f>
        <v>=cornGMO_FC + cornGMO_MC_optimal * cornGMO_Output_optimal</v>
      </c>
      <c r="H24" s="170"/>
      <c r="I24" s="170"/>
    </row>
    <row r="25" spans="2:16" x14ac:dyDescent="0.35">
      <c r="B25" s="127" t="s">
        <v>129</v>
      </c>
      <c r="C25" s="132">
        <f>cornGMO_D_int</f>
        <v>525</v>
      </c>
      <c r="E25" s="119" t="s">
        <v>115</v>
      </c>
      <c r="F25" s="125">
        <f>cornGMO_Revenue_optimal - cornGMO_TC_optimal</f>
        <v>7705723778.7082949</v>
      </c>
      <c r="G25" s="169" t="str">
        <f ca="1">_xlfn.FORMULATEXT(F25)</f>
        <v>=cornGMO_Revenue_optimal - cornGMO_TC_optimal</v>
      </c>
      <c r="H25" s="170"/>
      <c r="I25" s="170"/>
    </row>
    <row r="26" spans="2:16" ht="15" thickBot="1" x14ac:dyDescent="0.4">
      <c r="B26" s="128" t="s">
        <v>127</v>
      </c>
      <c r="C26" s="133">
        <f>SLOPE({270,500},{34400000,1})*1000000</f>
        <v>-6.6860467059897299</v>
      </c>
      <c r="E26" s="121" t="s">
        <v>130</v>
      </c>
      <c r="F26" s="126">
        <f>cornGMO_D_int + cornGMO_D_slope * cornGMO_Output_optimal</f>
        <v>296.11134768259484</v>
      </c>
      <c r="G26" s="169" t="str">
        <f ca="1">_xlfn.FORMULATEXT(F26)</f>
        <v>=cornGMO_D_int + cornGMO_D_slope * cornGMO_Output_optimal</v>
      </c>
      <c r="H26" s="170"/>
      <c r="I26" s="170"/>
    </row>
    <row r="28" spans="2:16" x14ac:dyDescent="0.35">
      <c r="G28" s="105"/>
      <c r="H28" s="108"/>
      <c r="P28" s="145" t="s">
        <v>141</v>
      </c>
    </row>
    <row r="29" spans="2:16" x14ac:dyDescent="0.35">
      <c r="E29" s="141" t="str">
        <f ca="1">_xlfn.FORMULATEXT(E32)</f>
        <v>=cornGMO_D_int+cornGMO_D_slope*cornGMO_Q</v>
      </c>
      <c r="G29" s="142" t="str">
        <f ca="1">_xlfn.FORMULATEXT(G32)</f>
        <v>=cornGMO_aQ*cornGMO_Q+cornGMO_bQ2*cornGMO_Q^2</v>
      </c>
      <c r="K29" s="142" t="str">
        <f ca="1">_xlfn.FORMULATEXT(K32)</f>
        <v>=IFERROR((F32-IF(ISNUMBER(F31),F31,0))/(D32-IF(ISNUMBER(D31),D31,0)),"")</v>
      </c>
      <c r="P29" s="146" t="str">
        <f ca="1">_xlfn.FORMULATEXT(P32)</f>
        <v>=cornGMO_MR_int+cornGMO_MR_slope*cornGMO_Q</v>
      </c>
    </row>
    <row r="30" spans="2:16" ht="16.5" thickBot="1" x14ac:dyDescent="0.4">
      <c r="C30" s="1" t="s">
        <v>2</v>
      </c>
      <c r="D30" s="9" t="s">
        <v>42</v>
      </c>
      <c r="E30" s="143" t="s">
        <v>139</v>
      </c>
      <c r="F30" s="16" t="s">
        <v>138</v>
      </c>
      <c r="G30" s="143" t="s">
        <v>139</v>
      </c>
      <c r="I30" s="16" t="s">
        <v>140</v>
      </c>
      <c r="J30" s="16" t="s">
        <v>142</v>
      </c>
      <c r="K30" s="16" t="s">
        <v>135</v>
      </c>
      <c r="L30" s="16" t="s">
        <v>103</v>
      </c>
      <c r="M30" s="16" t="s">
        <v>75</v>
      </c>
      <c r="P30" s="147" t="s">
        <v>139</v>
      </c>
    </row>
    <row r="31" spans="2:16" s="16" customFormat="1" ht="15" thickBot="1" x14ac:dyDescent="0.4">
      <c r="C31" s="17" t="s">
        <v>29</v>
      </c>
      <c r="D31" s="17" t="s">
        <v>34</v>
      </c>
      <c r="E31" s="17" t="s">
        <v>53</v>
      </c>
      <c r="F31" s="17" t="s">
        <v>3</v>
      </c>
      <c r="G31" s="68" t="s">
        <v>143</v>
      </c>
      <c r="H31" s="17" t="s">
        <v>144</v>
      </c>
      <c r="I31" s="17" t="s">
        <v>79</v>
      </c>
      <c r="J31" s="17" t="s">
        <v>0</v>
      </c>
      <c r="K31" s="17" t="s">
        <v>33</v>
      </c>
      <c r="L31" s="17" t="s">
        <v>54</v>
      </c>
      <c r="M31" s="17" t="s">
        <v>131</v>
      </c>
      <c r="N31" s="17" t="s">
        <v>28</v>
      </c>
      <c r="P31" s="148" t="s">
        <v>33</v>
      </c>
    </row>
    <row r="32" spans="2:16" ht="15" thickBot="1" x14ac:dyDescent="0.4">
      <c r="D32" s="149">
        <v>0</v>
      </c>
      <c r="E32" s="150" cm="1">
        <f t="array" ref="E32:E42">cornGMO_D_int+cornGMO_D_slope*cornGMO_Q</f>
        <v>525</v>
      </c>
      <c r="F32" s="150" cm="1">
        <f t="array" ref="F32:F42">cornGMO_Q*cornGMO_D</f>
        <v>0</v>
      </c>
      <c r="G32" s="151" cm="1">
        <f t="array" ref="G32:G42">cornGMO_aQ*cornGMO_Q+cornGMO_bQ2*cornGMO_Q^2</f>
        <v>0</v>
      </c>
      <c r="H32" s="152">
        <v>130000000</v>
      </c>
      <c r="I32" s="151" cm="1">
        <f t="array" ref="I32:I42">cornGMO_VC+cornGMO_FC</f>
        <v>130000000</v>
      </c>
      <c r="J32" s="151" cm="1">
        <f t="array" ref="J32:J42">cornGMO_Revenue-cornGMO_TC</f>
        <v>-130000000</v>
      </c>
      <c r="K32" s="151" t="str">
        <f>IFERROR((F32-IF(ISNUMBER(F31),F31,0))/(D32-IF(ISNUMBER(D31),D31,0)),"")</f>
        <v/>
      </c>
      <c r="L32" s="153">
        <f t="shared" ref="L32:L42" si="1">IFERROR((I32-I31)/(D32-D31),0)</f>
        <v>0</v>
      </c>
      <c r="M32" s="154" t="str">
        <f t="shared" ref="M32:M42" si="2">IF($M$30="Imperfect",(IF(AND(K32&gt;L32,K33&lt;=L33),"&lt;-- MR ~ MC","")),(IF(AND($C$12&gt;L32,$C$12&lt;=L33),"&lt;-- P ~ MC","")))</f>
        <v/>
      </c>
      <c r="N32" s="155"/>
      <c r="P32" s="80" cm="1">
        <f t="array" ref="P32:P42">cornGMO_MR_int+cornGMO_MR_slope*cornGMO_Q</f>
        <v>525</v>
      </c>
    </row>
    <row r="33" spans="3:16" ht="15" thickBot="1" x14ac:dyDescent="0.4">
      <c r="C33" s="98"/>
      <c r="D33" s="155">
        <f>D32+5000000</f>
        <v>5000000</v>
      </c>
      <c r="E33" s="150">
        <v>491.56976647005138</v>
      </c>
      <c r="F33" s="150">
        <v>2457848832.3502569</v>
      </c>
      <c r="G33" s="151">
        <v>30000000</v>
      </c>
      <c r="H33" s="150">
        <f t="shared" ref="H33:H42" si="3">cornGMO_FC</f>
        <v>130000000</v>
      </c>
      <c r="I33" s="151">
        <v>160000000</v>
      </c>
      <c r="J33" s="151">
        <v>2297848832.3502569</v>
      </c>
      <c r="K33" s="151">
        <f t="shared" ref="K33:K42" si="4">IFERROR((F33-IF(ISNUMBER(F32),F32,0))/(D33-IF(ISNUMBER(D32),D32,0)),"")</f>
        <v>491.56976647005138</v>
      </c>
      <c r="L33" s="153">
        <f t="shared" si="1"/>
        <v>6</v>
      </c>
      <c r="M33" s="154" t="str">
        <f t="shared" si="2"/>
        <v/>
      </c>
      <c r="N33" s="155">
        <f t="shared" ref="N33:N42" si="5">(D33+D32)/2</f>
        <v>2500000</v>
      </c>
      <c r="P33" s="80">
        <v>458.1395329401027</v>
      </c>
    </row>
    <row r="34" spans="3:16" ht="15" thickBot="1" x14ac:dyDescent="0.4">
      <c r="C34" s="98"/>
      <c r="D34" s="155">
        <f t="shared" ref="D34:D42" si="6">D33+5000000</f>
        <v>10000000</v>
      </c>
      <c r="E34" s="150">
        <v>458.1395329401027</v>
      </c>
      <c r="F34" s="150">
        <v>4581395329.4010267</v>
      </c>
      <c r="G34" s="151">
        <v>110000000</v>
      </c>
      <c r="H34" s="150">
        <f t="shared" si="3"/>
        <v>130000000</v>
      </c>
      <c r="I34" s="151">
        <v>240000000</v>
      </c>
      <c r="J34" s="151">
        <v>4341395329.4010267</v>
      </c>
      <c r="K34" s="151">
        <f t="shared" si="4"/>
        <v>424.70929941015396</v>
      </c>
      <c r="L34" s="153">
        <f t="shared" si="1"/>
        <v>16</v>
      </c>
      <c r="M34" s="154" t="str">
        <f t="shared" si="2"/>
        <v/>
      </c>
      <c r="N34" s="155">
        <f t="shared" si="5"/>
        <v>7500000</v>
      </c>
      <c r="P34" s="80">
        <v>391.27906588020539</v>
      </c>
    </row>
    <row r="35" spans="3:16" ht="15" thickBot="1" x14ac:dyDescent="0.4">
      <c r="D35" s="155">
        <f t="shared" si="6"/>
        <v>15000000</v>
      </c>
      <c r="E35" s="150">
        <v>424.70929941015407</v>
      </c>
      <c r="F35" s="150">
        <v>6370639491.1523113</v>
      </c>
      <c r="G35" s="151">
        <v>240000000</v>
      </c>
      <c r="H35" s="150">
        <f t="shared" si="3"/>
        <v>130000000</v>
      </c>
      <c r="I35" s="151">
        <v>370000000</v>
      </c>
      <c r="J35" s="151">
        <v>6000639491.1523113</v>
      </c>
      <c r="K35" s="151">
        <f t="shared" si="4"/>
        <v>357.84883235025694</v>
      </c>
      <c r="L35" s="153">
        <f t="shared" si="1"/>
        <v>26</v>
      </c>
      <c r="M35" s="154" t="str">
        <f t="shared" si="2"/>
        <v/>
      </c>
      <c r="N35" s="155">
        <f t="shared" si="5"/>
        <v>12500000</v>
      </c>
      <c r="P35" s="80">
        <v>324.41859882030815</v>
      </c>
    </row>
    <row r="36" spans="3:16" ht="15" thickBot="1" x14ac:dyDescent="0.4">
      <c r="D36" s="155">
        <f t="shared" si="6"/>
        <v>20000000</v>
      </c>
      <c r="E36" s="150">
        <v>391.27906588020539</v>
      </c>
      <c r="F36" s="150">
        <v>7825581317.6041079</v>
      </c>
      <c r="G36" s="151">
        <v>420000000</v>
      </c>
      <c r="H36" s="150">
        <f t="shared" si="3"/>
        <v>130000000</v>
      </c>
      <c r="I36" s="151">
        <v>550000000</v>
      </c>
      <c r="J36" s="151">
        <v>7275581317.6041079</v>
      </c>
      <c r="K36" s="151">
        <f t="shared" si="4"/>
        <v>290.9883652903593</v>
      </c>
      <c r="L36" s="153">
        <f t="shared" si="1"/>
        <v>36</v>
      </c>
      <c r="M36" s="154" t="str">
        <f t="shared" si="2"/>
        <v/>
      </c>
      <c r="N36" s="155">
        <f t="shared" si="5"/>
        <v>17500000</v>
      </c>
      <c r="O36" s="39"/>
      <c r="P36" s="80">
        <v>257.55813176041084</v>
      </c>
    </row>
    <row r="37" spans="3:16" ht="15" thickBot="1" x14ac:dyDescent="0.4">
      <c r="D37" s="155">
        <f t="shared" si="6"/>
        <v>25000000</v>
      </c>
      <c r="E37" s="150">
        <v>357.84883235025677</v>
      </c>
      <c r="F37" s="150">
        <v>8946220808.7564201</v>
      </c>
      <c r="G37" s="151">
        <v>650000000</v>
      </c>
      <c r="H37" s="150">
        <f t="shared" si="3"/>
        <v>130000000</v>
      </c>
      <c r="I37" s="151">
        <v>780000000</v>
      </c>
      <c r="J37" s="151">
        <v>8166220808.7564201</v>
      </c>
      <c r="K37" s="151">
        <f t="shared" si="4"/>
        <v>224.12789823046245</v>
      </c>
      <c r="L37" s="153">
        <f t="shared" si="1"/>
        <v>46</v>
      </c>
      <c r="M37" s="154" t="str">
        <f t="shared" si="2"/>
        <v/>
      </c>
      <c r="N37" s="155">
        <f t="shared" si="5"/>
        <v>22500000</v>
      </c>
      <c r="O37" s="39"/>
      <c r="P37" s="80">
        <v>190.69766470051354</v>
      </c>
    </row>
    <row r="38" spans="3:16" ht="15" thickBot="1" x14ac:dyDescent="0.4">
      <c r="D38" s="155">
        <f t="shared" si="6"/>
        <v>30000000</v>
      </c>
      <c r="E38" s="150">
        <v>324.41859882030815</v>
      </c>
      <c r="F38" s="150">
        <v>9732557964.6092453</v>
      </c>
      <c r="G38" s="151">
        <v>930000000</v>
      </c>
      <c r="H38" s="150">
        <f t="shared" si="3"/>
        <v>130000000</v>
      </c>
      <c r="I38" s="151">
        <v>1060000000</v>
      </c>
      <c r="J38" s="151">
        <v>8672557964.6092453</v>
      </c>
      <c r="K38" s="151">
        <f t="shared" si="4"/>
        <v>157.26743117056503</v>
      </c>
      <c r="L38" s="153">
        <f t="shared" si="1"/>
        <v>56</v>
      </c>
      <c r="M38" s="154" t="str">
        <f t="shared" si="2"/>
        <v/>
      </c>
      <c r="N38" s="155">
        <f t="shared" si="5"/>
        <v>27500000</v>
      </c>
      <c r="O38" s="39"/>
      <c r="P38" s="80">
        <v>123.83719764061624</v>
      </c>
    </row>
    <row r="39" spans="3:16" ht="15" thickBot="1" x14ac:dyDescent="0.4">
      <c r="D39" s="155">
        <f t="shared" si="6"/>
        <v>35000000</v>
      </c>
      <c r="E39" s="150">
        <v>290.98836529035947</v>
      </c>
      <c r="F39" s="150">
        <v>10184592785.16258</v>
      </c>
      <c r="G39" s="151">
        <v>1260000000</v>
      </c>
      <c r="H39" s="150">
        <f t="shared" si="3"/>
        <v>130000000</v>
      </c>
      <c r="I39" s="151">
        <v>1390000000</v>
      </c>
      <c r="J39" s="151">
        <v>8794592785.1625805</v>
      </c>
      <c r="K39" s="151">
        <f t="shared" si="4"/>
        <v>90.406964110667033</v>
      </c>
      <c r="L39" s="153">
        <f t="shared" si="1"/>
        <v>66</v>
      </c>
      <c r="M39" s="154" t="str">
        <f t="shared" si="2"/>
        <v>&lt;-- MR ~ MC</v>
      </c>
      <c r="N39" s="155">
        <f t="shared" si="5"/>
        <v>32500000</v>
      </c>
      <c r="O39" s="39">
        <f>N39*L39</f>
        <v>2145000000</v>
      </c>
      <c r="P39" s="80">
        <v>56.976730580718936</v>
      </c>
    </row>
    <row r="40" spans="3:16" ht="15" thickBot="1" x14ac:dyDescent="0.4">
      <c r="D40" s="155">
        <f t="shared" si="6"/>
        <v>40000000</v>
      </c>
      <c r="E40" s="150">
        <v>257.55813176041084</v>
      </c>
      <c r="F40" s="150">
        <v>10302325270.416433</v>
      </c>
      <c r="G40" s="151">
        <v>1640000000</v>
      </c>
      <c r="H40" s="150">
        <f t="shared" si="3"/>
        <v>130000000</v>
      </c>
      <c r="I40" s="151">
        <v>1770000000</v>
      </c>
      <c r="J40" s="151">
        <v>8532325270.4164333</v>
      </c>
      <c r="K40" s="151">
        <f t="shared" si="4"/>
        <v>23.546497050770569</v>
      </c>
      <c r="L40" s="153">
        <f t="shared" si="1"/>
        <v>76</v>
      </c>
      <c r="M40" s="154" t="str">
        <f t="shared" si="2"/>
        <v/>
      </c>
      <c r="N40" s="155">
        <f t="shared" si="5"/>
        <v>37500000</v>
      </c>
      <c r="O40" s="39"/>
      <c r="P40" s="80">
        <v>-9.8837364791783102</v>
      </c>
    </row>
    <row r="41" spans="3:16" ht="15" thickBot="1" x14ac:dyDescent="0.4">
      <c r="D41" s="155">
        <f t="shared" si="6"/>
        <v>45000000</v>
      </c>
      <c r="E41" s="150">
        <v>224.12789823046216</v>
      </c>
      <c r="F41" s="150">
        <v>10085755420.370798</v>
      </c>
      <c r="G41" s="151">
        <v>2070000000</v>
      </c>
      <c r="H41" s="150">
        <f t="shared" si="3"/>
        <v>130000000</v>
      </c>
      <c r="I41" s="151">
        <v>2200000000</v>
      </c>
      <c r="J41" s="151">
        <v>7885755420.3707981</v>
      </c>
      <c r="K41" s="151">
        <f t="shared" si="4"/>
        <v>-43.313970009127047</v>
      </c>
      <c r="L41" s="153">
        <f t="shared" si="1"/>
        <v>86</v>
      </c>
      <c r="M41" s="154" t="str">
        <f t="shared" si="2"/>
        <v/>
      </c>
      <c r="N41" s="155">
        <f t="shared" si="5"/>
        <v>42500000</v>
      </c>
      <c r="P41" s="80">
        <v>-76.74420353907567</v>
      </c>
    </row>
    <row r="42" spans="3:16" ht="15" thickBot="1" x14ac:dyDescent="0.4">
      <c r="D42" s="155">
        <f t="shared" si="6"/>
        <v>50000000</v>
      </c>
      <c r="E42" s="150">
        <v>190.69766470051354</v>
      </c>
      <c r="F42" s="150">
        <v>9534883235.0256767</v>
      </c>
      <c r="G42" s="151">
        <v>2550000000</v>
      </c>
      <c r="H42" s="150">
        <f t="shared" si="3"/>
        <v>130000000</v>
      </c>
      <c r="I42" s="151">
        <v>2680000000</v>
      </c>
      <c r="J42" s="151">
        <v>6854883235.0256767</v>
      </c>
      <c r="K42" s="151">
        <f t="shared" si="4"/>
        <v>-110.17443706902428</v>
      </c>
      <c r="L42" s="153">
        <f t="shared" si="1"/>
        <v>96</v>
      </c>
      <c r="M42" s="154" t="str">
        <f t="shared" si="2"/>
        <v/>
      </c>
      <c r="N42" s="155">
        <f t="shared" si="5"/>
        <v>47500000</v>
      </c>
      <c r="P42" s="80">
        <v>-143.60467059897292</v>
      </c>
    </row>
    <row r="44" spans="3:16" x14ac:dyDescent="0.35">
      <c r="K44" s="85"/>
    </row>
    <row r="45" spans="3:16" x14ac:dyDescent="0.35">
      <c r="K45" s="85"/>
    </row>
    <row r="46" spans="3:16" x14ac:dyDescent="0.35">
      <c r="K46" s="85"/>
    </row>
    <row r="47" spans="3:16" x14ac:dyDescent="0.35">
      <c r="K47" s="85"/>
    </row>
    <row r="48" spans="3:16" x14ac:dyDescent="0.35">
      <c r="K48" s="85"/>
    </row>
    <row r="49" spans="11:11" x14ac:dyDescent="0.35">
      <c r="K49" s="85"/>
    </row>
    <row r="50" spans="11:11" x14ac:dyDescent="0.35">
      <c r="K50" s="85"/>
    </row>
  </sheetData>
  <mergeCells count="15">
    <mergeCell ref="B9:B10"/>
    <mergeCell ref="G22:I22"/>
    <mergeCell ref="G24:I24"/>
    <mergeCell ref="M2:O2"/>
    <mergeCell ref="E16:F16"/>
    <mergeCell ref="G17:I17"/>
    <mergeCell ref="G18:I18"/>
    <mergeCell ref="G19:I19"/>
    <mergeCell ref="G20:I20"/>
    <mergeCell ref="G25:I25"/>
    <mergeCell ref="G26:I26"/>
    <mergeCell ref="B16:C16"/>
    <mergeCell ref="B17:C17"/>
    <mergeCell ref="G21:I21"/>
    <mergeCell ref="B21:C21"/>
  </mergeCells>
  <conditionalFormatting sqref="D32:N42">
    <cfRule type="expression" dxfId="13" priority="1">
      <formula>$M32&lt;&gt;""</formula>
    </cfRule>
  </conditionalFormatting>
  <conditionalFormatting sqref="P32:P42">
    <cfRule type="expression" dxfId="12" priority="2">
      <formula>$M32&lt;&gt;""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CC8E-A739-4278-BC2E-4AB56C385AFE}">
  <dimension ref="B2:P55"/>
  <sheetViews>
    <sheetView workbookViewId="0">
      <selection activeCell="L11" sqref="L11:M11"/>
    </sheetView>
  </sheetViews>
  <sheetFormatPr defaultColWidth="2.26953125" defaultRowHeight="14.5" x14ac:dyDescent="0.35"/>
  <cols>
    <col min="1" max="1" width="2.26953125" style="9"/>
    <col min="2" max="2" width="22.6328125" style="9" bestFit="1" customWidth="1"/>
    <col min="3" max="3" width="16.453125" style="9" bestFit="1" customWidth="1"/>
    <col min="4" max="4" width="11" style="9" bestFit="1" customWidth="1"/>
    <col min="5" max="5" width="14.1796875" style="9" bestFit="1" customWidth="1"/>
    <col min="6" max="6" width="15.54296875" style="9" bestFit="1" customWidth="1"/>
    <col min="7" max="7" width="15.81640625" style="9" bestFit="1" customWidth="1"/>
    <col min="8" max="8" width="13.08984375" style="9" bestFit="1" customWidth="1"/>
    <col min="9" max="9" width="15.81640625" style="9" bestFit="1" customWidth="1"/>
    <col min="10" max="10" width="16.453125" style="9" bestFit="1" customWidth="1"/>
    <col min="11" max="11" width="10.81640625" style="9" bestFit="1" customWidth="1"/>
    <col min="12" max="12" width="15.1796875" style="9" bestFit="1" customWidth="1"/>
    <col min="13" max="13" width="15.54296875" style="9" bestFit="1" customWidth="1"/>
    <col min="14" max="14" width="12.36328125" style="105" bestFit="1" customWidth="1"/>
    <col min="15" max="15" width="13.81640625" style="9" bestFit="1" customWidth="1"/>
    <col min="16" max="16" width="26.54296875" style="9" customWidth="1"/>
    <col min="17" max="17" width="19.7265625" style="9" customWidth="1"/>
    <col min="18" max="18" width="10" style="9" bestFit="1" customWidth="1"/>
    <col min="19" max="19" width="3.54296875" style="9" bestFit="1" customWidth="1"/>
    <col min="20" max="20" width="15.7265625" style="9" bestFit="1" customWidth="1"/>
    <col min="21" max="16384" width="2.26953125" style="9"/>
  </cols>
  <sheetData>
    <row r="2" spans="2:16" x14ac:dyDescent="0.35">
      <c r="B2" s="10" t="s">
        <v>20</v>
      </c>
      <c r="L2" s="97"/>
      <c r="M2" s="94"/>
      <c r="N2" s="160"/>
      <c r="O2" s="160"/>
      <c r="P2" s="160"/>
    </row>
    <row r="3" spans="2:16" x14ac:dyDescent="0.35">
      <c r="B3" s="11" t="s">
        <v>8</v>
      </c>
      <c r="L3" s="163" t="s">
        <v>105</v>
      </c>
      <c r="M3" s="163"/>
      <c r="O3" s="105"/>
      <c r="P3" s="105"/>
    </row>
    <row r="4" spans="2:16" x14ac:dyDescent="0.35">
      <c r="B4" s="12" t="s">
        <v>1</v>
      </c>
      <c r="L4" s="97" t="s">
        <v>107</v>
      </c>
      <c r="M4" s="116">
        <f>SLOPE(cornGMO_MC,cornGMO_Q)</f>
        <v>1.963636381818182E-6</v>
      </c>
      <c r="N4" s="160" t="str">
        <f t="shared" ref="N4:N13" ca="1" si="0">_xlfn.FORMULATEXT(M4)</f>
        <v>=SLOPE(cornGMO_MC,cornGMO_Q)</v>
      </c>
      <c r="O4" s="160"/>
      <c r="P4" s="160"/>
    </row>
    <row r="5" spans="2:16" x14ac:dyDescent="0.35">
      <c r="B5" s="13" t="s">
        <v>10</v>
      </c>
      <c r="L5" s="97" t="s">
        <v>108</v>
      </c>
      <c r="M5" s="95">
        <f>M31</f>
        <v>0</v>
      </c>
      <c r="N5" s="160" t="str">
        <f t="shared" ca="1" si="0"/>
        <v>=M31</v>
      </c>
      <c r="O5" s="160"/>
      <c r="P5" s="160"/>
    </row>
    <row r="6" spans="2:16" x14ac:dyDescent="0.35">
      <c r="B6" s="14" t="s">
        <v>21</v>
      </c>
      <c r="L6" s="100" t="s">
        <v>109</v>
      </c>
      <c r="M6" s="101">
        <f>cornGMO_MR_int / (cornGMO_MC_slope - cornGMO_MR_slope)</f>
        <v>34233780.006500259</v>
      </c>
      <c r="N6" s="160" t="str">
        <f t="shared" ca="1" si="0"/>
        <v>=cornGMO_MR_int / (cornGMO_MC_slope - cornGMO_MR_slope)</v>
      </c>
      <c r="O6" s="160"/>
      <c r="P6" s="160"/>
    </row>
    <row r="7" spans="2:16" x14ac:dyDescent="0.35">
      <c r="J7" s="115"/>
      <c r="L7" s="8" t="s">
        <v>112</v>
      </c>
      <c r="M7" s="99">
        <f>cornGMO_Output_optimal * cornGMO_P</f>
        <v>9243120601.7550697</v>
      </c>
      <c r="N7" s="160" t="str">
        <f t="shared" ca="1" si="0"/>
        <v>=cornGMO_Output_optimal * cornGMO_P</v>
      </c>
      <c r="O7" s="160"/>
      <c r="P7" s="160"/>
    </row>
    <row r="8" spans="2:16" x14ac:dyDescent="0.35">
      <c r="J8" s="4"/>
      <c r="L8" s="97" t="s">
        <v>128</v>
      </c>
      <c r="M8" s="99">
        <f>cornGMO_MR_int + cornGMO_MR_slope * cornGMO_Output_optimal</f>
        <v>67.222695907923764</v>
      </c>
      <c r="N8" s="160" t="str">
        <f t="shared" ca="1" si="0"/>
        <v>=cornGMO_MR_int + cornGMO_MR_slope * cornGMO_Output_optimal</v>
      </c>
      <c r="O8" s="160"/>
      <c r="P8" s="160"/>
    </row>
    <row r="9" spans="2:16" x14ac:dyDescent="0.35">
      <c r="B9" s="163" t="s">
        <v>122</v>
      </c>
      <c r="C9" s="3" t="s">
        <v>26</v>
      </c>
      <c r="D9" s="3" t="s">
        <v>38</v>
      </c>
      <c r="E9" s="3" t="s">
        <v>40</v>
      </c>
      <c r="F9" s="3" t="s">
        <v>38</v>
      </c>
      <c r="G9" s="3" t="s">
        <v>43</v>
      </c>
      <c r="H9" s="3" t="s">
        <v>121</v>
      </c>
      <c r="L9" s="97" t="s">
        <v>111</v>
      </c>
      <c r="M9" s="99">
        <f>cornGMO_MC_intercept + cornGMO_MC_slope * cornGMO_Output_optimal</f>
        <v>67.222695907923793</v>
      </c>
      <c r="N9" s="160" t="str">
        <f t="shared" ca="1" si="0"/>
        <v>=cornGMO_MC_intercept + cornGMO_MC_slope * cornGMO_Output_optimal</v>
      </c>
      <c r="O9" s="160"/>
      <c r="P9" s="160"/>
    </row>
    <row r="10" spans="2:16" ht="15" thickBot="1" x14ac:dyDescent="0.4">
      <c r="B10" s="163"/>
      <c r="C10" s="5" t="s">
        <v>123</v>
      </c>
      <c r="D10" s="5" t="s">
        <v>39</v>
      </c>
      <c r="E10" s="5" t="s">
        <v>9</v>
      </c>
      <c r="F10" s="5" t="s">
        <v>123</v>
      </c>
      <c r="G10" s="5" t="s">
        <v>44</v>
      </c>
      <c r="H10" s="5" t="s">
        <v>120</v>
      </c>
      <c r="L10" s="97" t="s">
        <v>113</v>
      </c>
      <c r="M10" s="99">
        <f>cornGMO_FC / cornGMO_Output_optimal + cornGMO_MC_optimal</f>
        <v>71.020114714007022</v>
      </c>
      <c r="N10" s="160" t="str">
        <f t="shared" ca="1" si="0"/>
        <v>=cornGMO_FC / cornGMO_Output_optimal + cornGMO_MC_optimal</v>
      </c>
      <c r="O10" s="160"/>
      <c r="P10" s="160"/>
    </row>
    <row r="11" spans="2:16" ht="15" thickBot="1" x14ac:dyDescent="0.4">
      <c r="B11" s="2" t="s">
        <v>36</v>
      </c>
      <c r="C11" s="7">
        <v>270</v>
      </c>
      <c r="D11" s="90">
        <v>86</v>
      </c>
      <c r="E11" s="89">
        <f>D11/$D$13</f>
        <v>0.89583333333333337</v>
      </c>
      <c r="F11" s="90">
        <v>2.5</v>
      </c>
      <c r="G11" s="87">
        <f>D11/F11*1000000</f>
        <v>34400000</v>
      </c>
      <c r="L11" s="97" t="s">
        <v>110</v>
      </c>
      <c r="M11" s="99">
        <f>cornGMO_FC</f>
        <v>130000000</v>
      </c>
      <c r="N11" s="160" t="str">
        <f t="shared" ca="1" si="0"/>
        <v>=cornGMO_FC</v>
      </c>
      <c r="O11" s="160"/>
      <c r="P11" s="160"/>
    </row>
    <row r="12" spans="2:16" ht="15" thickBot="1" x14ac:dyDescent="0.4">
      <c r="B12" s="2" t="s">
        <v>98</v>
      </c>
      <c r="C12" s="7">
        <f>C11-150</f>
        <v>120</v>
      </c>
      <c r="D12" s="90">
        <v>10</v>
      </c>
      <c r="E12" s="89">
        <f>D12/$D$13</f>
        <v>0.10416666666666667</v>
      </c>
      <c r="F12" s="90">
        <v>2.5</v>
      </c>
      <c r="G12" s="87">
        <f>D12/F12*1000000</f>
        <v>4000000</v>
      </c>
      <c r="L12" s="97" t="s">
        <v>114</v>
      </c>
      <c r="M12" s="99">
        <f>cornGMO_FC + cornGMO_MC_optimal * cornGMO_Output_optimal</f>
        <v>2431286983.1557283</v>
      </c>
      <c r="N12" s="160" t="str">
        <f t="shared" ca="1" si="0"/>
        <v>=cornGMO_FC + cornGMO_MC_optimal * cornGMO_Output_optimal</v>
      </c>
      <c r="O12" s="160"/>
      <c r="P12" s="160"/>
    </row>
    <row r="13" spans="2:16" ht="15" thickBot="1" x14ac:dyDescent="0.4">
      <c r="C13" s="91" t="s">
        <v>5</v>
      </c>
      <c r="D13" s="86">
        <f>SUM(D11:D12)</f>
        <v>96</v>
      </c>
      <c r="E13" s="89">
        <f>D13/$D$13</f>
        <v>1</v>
      </c>
      <c r="F13" s="90">
        <v>2.5</v>
      </c>
      <c r="G13" s="87">
        <f>D13/F13*1000000</f>
        <v>38400000</v>
      </c>
      <c r="I13" s="3" t="s">
        <v>104</v>
      </c>
      <c r="L13" s="100" t="s">
        <v>115</v>
      </c>
      <c r="M13" s="102">
        <f>cornGMO_Revenue_optimal - cornGMO_TC_optimal</f>
        <v>6811833618.5993414</v>
      </c>
      <c r="N13" s="160" t="str">
        <f t="shared" ca="1" si="0"/>
        <v>=cornGMO_Revenue_optimal - cornGMO_TC_optimal</v>
      </c>
      <c r="O13" s="160"/>
      <c r="P13" s="160"/>
    </row>
    <row r="14" spans="2:16" ht="15" thickBot="1" x14ac:dyDescent="0.4">
      <c r="B14" s="2" t="s">
        <v>45</v>
      </c>
      <c r="C14" s="7">
        <v>107.99</v>
      </c>
      <c r="D14" s="98">
        <f>D11</f>
        <v>86</v>
      </c>
      <c r="H14" s="92">
        <v>0.26417200000000002</v>
      </c>
      <c r="I14" s="87">
        <f>D11*H14*1000000</f>
        <v>22718792</v>
      </c>
      <c r="K14" s="39"/>
      <c r="L14" s="100" t="s">
        <v>130</v>
      </c>
      <c r="M14" s="102">
        <f>cornGMO_D_int + cornGMO_D_slope * cornGMO_Output_optimal</f>
        <v>296.11134795396185</v>
      </c>
    </row>
    <row r="16" spans="2:16" x14ac:dyDescent="0.35">
      <c r="B16" s="171" t="s">
        <v>124</v>
      </c>
      <c r="C16" s="171"/>
      <c r="G16" s="3"/>
      <c r="H16" s="108"/>
    </row>
    <row r="17" spans="2:15" x14ac:dyDescent="0.35">
      <c r="B17" s="172" t="s">
        <v>118</v>
      </c>
      <c r="C17" s="172"/>
      <c r="G17" s="3"/>
      <c r="H17" s="108"/>
    </row>
    <row r="18" spans="2:15" x14ac:dyDescent="0.35">
      <c r="B18" s="109" t="s">
        <v>116</v>
      </c>
      <c r="C18" s="103">
        <v>1</v>
      </c>
      <c r="G18" s="3"/>
      <c r="H18" s="108"/>
    </row>
    <row r="19" spans="2:15" x14ac:dyDescent="0.35">
      <c r="B19" s="109" t="s">
        <v>119</v>
      </c>
      <c r="C19" s="114">
        <f>C20/1000000</f>
        <v>9.9999999999999995E-7</v>
      </c>
      <c r="G19" s="3"/>
      <c r="H19" s="108"/>
    </row>
    <row r="20" spans="2:15" x14ac:dyDescent="0.35">
      <c r="B20" s="109" t="s">
        <v>117</v>
      </c>
      <c r="C20" s="104">
        <v>1</v>
      </c>
      <c r="G20" s="3"/>
      <c r="H20" s="108"/>
    </row>
    <row r="21" spans="2:15" x14ac:dyDescent="0.35">
      <c r="B21" s="110" t="s">
        <v>125</v>
      </c>
      <c r="C21" s="110"/>
      <c r="G21" s="3"/>
      <c r="H21" s="108"/>
    </row>
    <row r="22" spans="2:15" x14ac:dyDescent="0.35">
      <c r="B22" s="8" t="s">
        <v>99</v>
      </c>
      <c r="C22" s="113">
        <f>C26/1000000</f>
        <v>-6.6860467059897296E-6</v>
      </c>
      <c r="D22" s="93">
        <f>D26/1000000</f>
        <v>-1.7043479001890391E-5</v>
      </c>
      <c r="G22" s="3"/>
      <c r="H22" s="108"/>
    </row>
    <row r="23" spans="2:15" x14ac:dyDescent="0.35">
      <c r="B23" s="8" t="s">
        <v>100</v>
      </c>
      <c r="C23" s="111">
        <f>cornGMO_D_slope*2</f>
        <v>-1.3372093411979459E-5</v>
      </c>
      <c r="G23" s="3"/>
      <c r="H23" s="108"/>
    </row>
    <row r="24" spans="2:15" x14ac:dyDescent="0.35">
      <c r="B24" s="8" t="s">
        <v>126</v>
      </c>
      <c r="C24" s="103">
        <v>525</v>
      </c>
      <c r="D24" s="103">
        <v>500</v>
      </c>
      <c r="G24" s="3"/>
      <c r="H24" s="108"/>
    </row>
    <row r="25" spans="2:15" x14ac:dyDescent="0.35">
      <c r="B25" s="9" t="s">
        <v>129</v>
      </c>
      <c r="C25" s="98">
        <f>cornGMO_D_int</f>
        <v>525</v>
      </c>
      <c r="G25" s="3"/>
      <c r="H25" s="108"/>
    </row>
    <row r="26" spans="2:15" x14ac:dyDescent="0.35">
      <c r="B26" s="8" t="s">
        <v>127</v>
      </c>
      <c r="C26" s="112">
        <f>SLOPE({270,500},{34400000,1})*1000000</f>
        <v>-6.6860467059897299</v>
      </c>
      <c r="D26" s="112">
        <f>SLOPE({108,500},{23000000,1})*1000000</f>
        <v>-17.04347900189039</v>
      </c>
      <c r="G26" s="3"/>
      <c r="H26" s="108"/>
    </row>
    <row r="27" spans="2:15" x14ac:dyDescent="0.35">
      <c r="G27" s="3"/>
      <c r="H27" s="108"/>
    </row>
    <row r="28" spans="2:15" x14ac:dyDescent="0.35">
      <c r="G28" s="3"/>
      <c r="H28" s="108"/>
    </row>
    <row r="29" spans="2:15" ht="15" thickBot="1" x14ac:dyDescent="0.4">
      <c r="C29" s="1" t="s">
        <v>2</v>
      </c>
      <c r="D29" s="9" t="s">
        <v>42</v>
      </c>
      <c r="G29" s="23"/>
      <c r="J29" s="16" t="s">
        <v>106</v>
      </c>
      <c r="K29" s="16"/>
      <c r="L29" s="16" t="s">
        <v>102</v>
      </c>
      <c r="M29" s="16" t="s">
        <v>103</v>
      </c>
      <c r="N29" s="16" t="s">
        <v>75</v>
      </c>
    </row>
    <row r="30" spans="2:15" s="16" customFormat="1" ht="15" thickBot="1" x14ac:dyDescent="0.4">
      <c r="C30" s="17" t="s">
        <v>29</v>
      </c>
      <c r="D30" s="17" t="s">
        <v>34</v>
      </c>
      <c r="E30" s="17" t="s">
        <v>32</v>
      </c>
      <c r="F30" s="17" t="s">
        <v>3</v>
      </c>
      <c r="G30" s="17" t="s">
        <v>80</v>
      </c>
      <c r="H30" s="17" t="s">
        <v>81</v>
      </c>
      <c r="I30" s="17" t="s">
        <v>79</v>
      </c>
      <c r="J30" s="17" t="s">
        <v>0</v>
      </c>
      <c r="K30" s="17" t="s">
        <v>33</v>
      </c>
      <c r="L30" s="17" t="s">
        <v>61</v>
      </c>
      <c r="M30" s="17" t="s">
        <v>54</v>
      </c>
      <c r="N30" s="17" t="s">
        <v>131</v>
      </c>
      <c r="O30" s="17" t="s">
        <v>28</v>
      </c>
    </row>
    <row r="31" spans="2:15" ht="15" thickBot="1" x14ac:dyDescent="0.4">
      <c r="D31" s="34">
        <v>1</v>
      </c>
      <c r="E31" s="24">
        <f>cornGMO_D_int</f>
        <v>525</v>
      </c>
      <c r="F31" s="24" cm="1">
        <f t="array" ref="F31:F41">cornGMO_Q*cornGMO_D</f>
        <v>525</v>
      </c>
      <c r="G31" s="19" cm="1">
        <f t="array" ref="G31:G41">cornGMO_aQ*cornGMO_Q+cornGMO_bQ2*cornGMO_Q^2</f>
        <v>1.0000009999999999</v>
      </c>
      <c r="H31" s="88">
        <v>130000000</v>
      </c>
      <c r="I31" s="19" cm="1">
        <f t="array" ref="I31:I41">cornGMO_VC+cornGMO_FC</f>
        <v>130000001.000001</v>
      </c>
      <c r="J31" s="19" cm="1">
        <f t="array" ref="J31:J41">(cornGMO_P-cornGMO_ATC)*cornGMO_Q</f>
        <v>-129999731.000001</v>
      </c>
      <c r="K31" s="19" cm="1">
        <f t="array" ref="K31:K41">cornGMO_MR_int+cornGMO_MR_slope*cornGMO_Q</f>
        <v>524.99998662790654</v>
      </c>
      <c r="L31" s="19" cm="1">
        <f t="array" ref="L31:L41">IFERROR(cornGMO_TC/cornGMO_Q,"")</f>
        <v>130000001.000001</v>
      </c>
      <c r="M31" s="96">
        <f>IFERROR((I31-I30)/(D31-D30),0)</f>
        <v>0</v>
      </c>
      <c r="N31" s="106" t="str">
        <f t="shared" ref="N31:N41" si="1">IF($N$29="Imperfect",(IF(AND(K31&gt;M31,K32&lt;=M32),"&lt;-- MR ~ MC","")),(IF(AND($C$12&gt;M31,$C$12&lt;=M32),"&lt;-- P ~ MC","")))</f>
        <v/>
      </c>
      <c r="O31" s="35"/>
    </row>
    <row r="32" spans="2:15" ht="15" thickBot="1" x14ac:dyDescent="0.4">
      <c r="C32" s="98"/>
      <c r="D32" s="35">
        <f>D31+5000000</f>
        <v>5000001</v>
      </c>
      <c r="E32" s="24">
        <f t="shared" ref="E32:E41" si="2">cornGMO_D_int+cornGMO_D_slope*D32</f>
        <v>491.56975978400465</v>
      </c>
      <c r="F32" s="24">
        <v>2457849290.4897828</v>
      </c>
      <c r="G32" s="19">
        <v>30000011.000000998</v>
      </c>
      <c r="H32" s="24">
        <f t="shared" ref="H32:H41" si="3">cornGMO_FC</f>
        <v>130000000</v>
      </c>
      <c r="I32" s="19">
        <v>160000011.00000101</v>
      </c>
      <c r="J32" s="19">
        <v>1190000258.999999</v>
      </c>
      <c r="K32" s="19">
        <v>458.13951956800929</v>
      </c>
      <c r="L32" s="19">
        <v>31.999995800001042</v>
      </c>
      <c r="M32" s="96">
        <f>IFERROR((I32-I31)/(D32-D31),0)</f>
        <v>6.0000020000000029</v>
      </c>
      <c r="N32" s="106" t="str">
        <f t="shared" si="1"/>
        <v/>
      </c>
      <c r="O32" s="35">
        <f t="shared" ref="O32:O41" si="4">(D32+D31)/2</f>
        <v>2500001</v>
      </c>
    </row>
    <row r="33" spans="3:15" ht="15" thickBot="1" x14ac:dyDescent="0.4">
      <c r="C33" s="98"/>
      <c r="D33" s="35">
        <f t="shared" ref="D33:D41" si="5">D32+5000000</f>
        <v>10000001</v>
      </c>
      <c r="E33" s="24">
        <f t="shared" si="2"/>
        <v>458.13952625405602</v>
      </c>
      <c r="F33" s="24">
        <v>4581395720.6800861</v>
      </c>
      <c r="G33" s="19">
        <v>110000021.000001</v>
      </c>
      <c r="H33" s="24">
        <f t="shared" si="3"/>
        <v>130000000</v>
      </c>
      <c r="I33" s="19">
        <v>240000021.00000101</v>
      </c>
      <c r="J33" s="19">
        <v>2460000248.999999</v>
      </c>
      <c r="K33" s="19">
        <v>391.27905250811199</v>
      </c>
      <c r="L33" s="19">
        <v>23.999999700000131</v>
      </c>
      <c r="M33" s="96">
        <f t="shared" ref="M33:M41" si="6">IFERROR((I33-I32)/(D33-D32),0)</f>
        <v>16.000001999999999</v>
      </c>
      <c r="N33" s="106" t="str">
        <f t="shared" si="1"/>
        <v/>
      </c>
      <c r="O33" s="35">
        <f t="shared" si="4"/>
        <v>7500001</v>
      </c>
    </row>
    <row r="34" spans="3:15" ht="15" thickBot="1" x14ac:dyDescent="0.4">
      <c r="D34" s="35">
        <f t="shared" si="5"/>
        <v>15000001</v>
      </c>
      <c r="E34" s="24">
        <f t="shared" si="2"/>
        <v>424.70929272410734</v>
      </c>
      <c r="F34" s="24">
        <v>6370639815.5709028</v>
      </c>
      <c r="G34" s="19">
        <v>240000031.00000098</v>
      </c>
      <c r="H34" s="24">
        <f t="shared" si="3"/>
        <v>130000000</v>
      </c>
      <c r="I34" s="19">
        <v>370000031.00000095</v>
      </c>
      <c r="J34" s="19">
        <v>3680000238.999999</v>
      </c>
      <c r="K34" s="19">
        <v>324.41858544821469</v>
      </c>
      <c r="L34" s="19">
        <v>24.666667088888925</v>
      </c>
      <c r="M34" s="96">
        <f t="shared" si="6"/>
        <v>26.000001999999988</v>
      </c>
      <c r="N34" s="106" t="str">
        <f t="shared" si="1"/>
        <v/>
      </c>
      <c r="O34" s="35">
        <f t="shared" si="4"/>
        <v>12500001</v>
      </c>
    </row>
    <row r="35" spans="3:15" ht="15" thickBot="1" x14ac:dyDescent="0.4">
      <c r="D35" s="35">
        <f t="shared" si="5"/>
        <v>20000001</v>
      </c>
      <c r="E35" s="24">
        <f t="shared" si="2"/>
        <v>391.27905919415866</v>
      </c>
      <c r="F35" s="24">
        <v>7825581575.1622324</v>
      </c>
      <c r="G35" s="19">
        <v>420000041.00000095</v>
      </c>
      <c r="H35" s="24">
        <f t="shared" si="3"/>
        <v>130000000</v>
      </c>
      <c r="I35" s="19">
        <v>550000041.00000095</v>
      </c>
      <c r="J35" s="19">
        <v>4850000228.999999</v>
      </c>
      <c r="K35" s="19">
        <v>257.55811838831738</v>
      </c>
      <c r="L35" s="19">
        <v>27.500000675000013</v>
      </c>
      <c r="M35" s="96">
        <f>IFERROR((I35-I34)/(D35-D34),0)</f>
        <v>36.000002000000002</v>
      </c>
      <c r="N35" s="106" t="str">
        <f t="shared" si="1"/>
        <v/>
      </c>
      <c r="O35" s="35">
        <f t="shared" si="4"/>
        <v>17500001</v>
      </c>
    </row>
    <row r="36" spans="3:15" ht="15" thickBot="1" x14ac:dyDescent="0.4">
      <c r="D36" s="35">
        <f t="shared" si="5"/>
        <v>25000001</v>
      </c>
      <c r="E36" s="24">
        <f t="shared" si="2"/>
        <v>357.84882566421004</v>
      </c>
      <c r="F36" s="24">
        <v>8946220999.4540768</v>
      </c>
      <c r="G36" s="19">
        <v>650000051.00000095</v>
      </c>
      <c r="H36" s="24">
        <f t="shared" si="3"/>
        <v>130000000</v>
      </c>
      <c r="I36" s="19">
        <v>780000051.00000095</v>
      </c>
      <c r="J36" s="19">
        <v>5970000218.999999</v>
      </c>
      <c r="K36" s="19">
        <v>190.69765132842014</v>
      </c>
      <c r="L36" s="19">
        <v>31.200000792000008</v>
      </c>
      <c r="M36" s="96">
        <f t="shared" si="6"/>
        <v>46.000002000000002</v>
      </c>
      <c r="N36" s="106" t="str">
        <f t="shared" si="1"/>
        <v/>
      </c>
      <c r="O36" s="35">
        <f t="shared" si="4"/>
        <v>22500001</v>
      </c>
    </row>
    <row r="37" spans="3:15" ht="15" thickBot="1" x14ac:dyDescent="0.4">
      <c r="D37" s="35">
        <f t="shared" si="5"/>
        <v>30000001</v>
      </c>
      <c r="E37" s="24">
        <f t="shared" si="2"/>
        <v>324.41859213426142</v>
      </c>
      <c r="F37" s="24">
        <v>9732558088.446434</v>
      </c>
      <c r="G37" s="19">
        <v>930000061.00000095</v>
      </c>
      <c r="H37" s="24">
        <f t="shared" si="3"/>
        <v>130000000</v>
      </c>
      <c r="I37" s="19">
        <v>1060000061.000001</v>
      </c>
      <c r="J37" s="19">
        <v>7040000208.999999</v>
      </c>
      <c r="K37" s="19">
        <v>123.83718426852283</v>
      </c>
      <c r="L37" s="19">
        <v>35.333334188888891</v>
      </c>
      <c r="M37" s="96">
        <f t="shared" si="6"/>
        <v>56.000002000000002</v>
      </c>
      <c r="N37" s="106" t="str">
        <f t="shared" si="1"/>
        <v>&lt;-- MR ~ MC</v>
      </c>
      <c r="O37" s="35">
        <f t="shared" si="4"/>
        <v>27500001</v>
      </c>
    </row>
    <row r="38" spans="3:15" ht="15" thickBot="1" x14ac:dyDescent="0.4">
      <c r="D38" s="35">
        <f t="shared" si="5"/>
        <v>35000001</v>
      </c>
      <c r="E38" s="24">
        <f t="shared" si="2"/>
        <v>290.98835860431279</v>
      </c>
      <c r="F38" s="24">
        <v>10184592842.139307</v>
      </c>
      <c r="G38" s="19">
        <v>1260000071.000001</v>
      </c>
      <c r="H38" s="24">
        <f t="shared" si="3"/>
        <v>130000000</v>
      </c>
      <c r="I38" s="19">
        <v>1390000071.000001</v>
      </c>
      <c r="J38" s="19">
        <v>8060000198.999999</v>
      </c>
      <c r="K38" s="19">
        <v>56.97671720862553</v>
      </c>
      <c r="L38" s="19">
        <v>39.71428660816327</v>
      </c>
      <c r="M38" s="96">
        <f t="shared" si="6"/>
        <v>66.000001999999995</v>
      </c>
      <c r="N38" s="106" t="str">
        <f t="shared" si="1"/>
        <v/>
      </c>
      <c r="O38" s="35">
        <f t="shared" si="4"/>
        <v>32500001</v>
      </c>
    </row>
    <row r="39" spans="3:15" ht="15" thickBot="1" x14ac:dyDescent="0.4">
      <c r="D39" s="35">
        <f t="shared" si="5"/>
        <v>40000001</v>
      </c>
      <c r="E39" s="24">
        <f t="shared" si="2"/>
        <v>257.55812507436411</v>
      </c>
      <c r="F39" s="24">
        <v>10302325260.53269</v>
      </c>
      <c r="G39" s="19">
        <v>1640000081.000001</v>
      </c>
      <c r="H39" s="24">
        <f t="shared" si="3"/>
        <v>130000000</v>
      </c>
      <c r="I39" s="19">
        <v>1770000081.000001</v>
      </c>
      <c r="J39" s="19">
        <v>9030000188.9999981</v>
      </c>
      <c r="K39" s="19">
        <v>-9.883749851271773</v>
      </c>
      <c r="L39" s="19">
        <v>44.250000918750004</v>
      </c>
      <c r="M39" s="96">
        <f t="shared" si="6"/>
        <v>76.000001999999995</v>
      </c>
      <c r="N39" s="106" t="str">
        <f t="shared" si="1"/>
        <v/>
      </c>
      <c r="O39" s="35">
        <f t="shared" si="4"/>
        <v>37500001</v>
      </c>
    </row>
    <row r="40" spans="3:15" ht="15" thickBot="1" x14ac:dyDescent="0.4">
      <c r="D40" s="35">
        <f t="shared" si="5"/>
        <v>45000001</v>
      </c>
      <c r="E40" s="24">
        <f t="shared" si="2"/>
        <v>224.12789154441549</v>
      </c>
      <c r="F40" s="24">
        <v>10085755343.626589</v>
      </c>
      <c r="G40" s="19">
        <v>2070000091.000001</v>
      </c>
      <c r="H40" s="24">
        <f t="shared" si="3"/>
        <v>130000000</v>
      </c>
      <c r="I40" s="19">
        <v>2200000091.000001</v>
      </c>
      <c r="J40" s="19">
        <v>9950000178.9999981</v>
      </c>
      <c r="K40" s="19">
        <v>-76.744216911169019</v>
      </c>
      <c r="L40" s="19">
        <v>48.888889824691361</v>
      </c>
      <c r="M40" s="96">
        <f t="shared" si="6"/>
        <v>86.000001999999995</v>
      </c>
      <c r="N40" s="106" t="str">
        <f t="shared" si="1"/>
        <v/>
      </c>
      <c r="O40" s="35">
        <f t="shared" si="4"/>
        <v>42500001</v>
      </c>
    </row>
    <row r="41" spans="3:15" ht="15" thickBot="1" x14ac:dyDescent="0.4">
      <c r="D41" s="35">
        <f t="shared" si="5"/>
        <v>50000001</v>
      </c>
      <c r="E41" s="24">
        <f t="shared" si="2"/>
        <v>190.69765801446681</v>
      </c>
      <c r="F41" s="24">
        <v>9534883091.4209976</v>
      </c>
      <c r="G41" s="19">
        <v>2550000101.000001</v>
      </c>
      <c r="H41" s="24">
        <f t="shared" si="3"/>
        <v>130000000</v>
      </c>
      <c r="I41" s="19">
        <v>2680000101.000001</v>
      </c>
      <c r="J41" s="19">
        <v>10820000168.999998</v>
      </c>
      <c r="K41" s="19">
        <v>-143.60468397106638</v>
      </c>
      <c r="L41" s="19">
        <v>53.600000948000002</v>
      </c>
      <c r="M41" s="96">
        <f t="shared" si="6"/>
        <v>96.000001999999995</v>
      </c>
      <c r="N41" s="106" t="str">
        <f t="shared" si="1"/>
        <v/>
      </c>
      <c r="O41" s="35">
        <f t="shared" si="4"/>
        <v>47500001</v>
      </c>
    </row>
    <row r="43" spans="3:15" ht="15" thickBot="1" x14ac:dyDescent="0.4"/>
    <row r="44" spans="3:15" ht="15" thickBot="1" x14ac:dyDescent="0.4">
      <c r="C44" s="17" t="s">
        <v>30</v>
      </c>
      <c r="D44" s="17" t="s">
        <v>34</v>
      </c>
      <c r="E44" s="17" t="s">
        <v>32</v>
      </c>
      <c r="F44" s="17" t="s">
        <v>3</v>
      </c>
      <c r="G44" s="17" t="s">
        <v>80</v>
      </c>
      <c r="H44" s="17" t="s">
        <v>81</v>
      </c>
      <c r="I44" s="17" t="s">
        <v>79</v>
      </c>
      <c r="J44" s="17" t="s">
        <v>0</v>
      </c>
      <c r="K44" s="17" t="s">
        <v>33</v>
      </c>
      <c r="L44" s="17" t="s">
        <v>61</v>
      </c>
      <c r="M44" s="17" t="s">
        <v>54</v>
      </c>
      <c r="N44" s="17" t="s">
        <v>131</v>
      </c>
      <c r="O44" s="17" t="s">
        <v>28</v>
      </c>
    </row>
    <row r="45" spans="3:15" ht="15" thickBot="1" x14ac:dyDescent="0.4">
      <c r="D45" s="34">
        <v>1</v>
      </c>
      <c r="E45" s="35">
        <f>D24</f>
        <v>500</v>
      </c>
      <c r="F45" s="24">
        <f>D45*E45</f>
        <v>500</v>
      </c>
      <c r="G45" s="19" cm="1">
        <f t="array" ref="G45:G55">cornGMO_aQ*cornGMO_Q+cornGMO_bQ2*cornGMO_Q^2</f>
        <v>1.0000009999999999</v>
      </c>
      <c r="H45" s="24">
        <v>10000000</v>
      </c>
      <c r="I45" s="19">
        <f>G45+H45</f>
        <v>10000001.000001</v>
      </c>
      <c r="J45" s="19">
        <f>F45-I45</f>
        <v>-9999501.0000010002</v>
      </c>
      <c r="K45" s="36">
        <f>$D$24+2*$D$22*D45</f>
        <v>499.99996591304199</v>
      </c>
      <c r="L45" s="36">
        <f>I45/D45</f>
        <v>10000001.000001</v>
      </c>
      <c r="M45" s="96">
        <f>IFERROR((I45-I44)/(D45-D44),0)</f>
        <v>0</v>
      </c>
      <c r="N45" s="106" t="str">
        <f>IF($N$29="Imperfect",(IF(AND(K45&gt;M45,K46&lt;=M46),"&lt;-- MR ~ MC","")),(IF(AND($C$12&gt;M45,$C$12&lt;=M46),"&lt;-- P ~ MC","")))</f>
        <v/>
      </c>
      <c r="O45" s="26"/>
    </row>
    <row r="46" spans="3:15" ht="15" thickBot="1" x14ac:dyDescent="0.4">
      <c r="D46" s="35">
        <f>D45+2500000</f>
        <v>2500001</v>
      </c>
      <c r="E46" s="35">
        <f>$D$24+$D$22*D46</f>
        <v>457.391285451795</v>
      </c>
      <c r="F46" s="24">
        <f t="shared" ref="F46:F55" si="7">D46*E46</f>
        <v>1143478671.0207729</v>
      </c>
      <c r="G46" s="19">
        <v>30000011.000000998</v>
      </c>
      <c r="H46" s="24">
        <f>H45</f>
        <v>10000000</v>
      </c>
      <c r="I46" s="19">
        <f t="shared" ref="I46:I55" si="8">G46+H46</f>
        <v>40000011.000000998</v>
      </c>
      <c r="J46" s="19">
        <f t="shared" ref="J46:J55" si="9">F46-I46</f>
        <v>1103478660.020772</v>
      </c>
      <c r="K46" s="36">
        <f t="shared" ref="K46:K55" si="10">$D$24+2*$D$22*D46</f>
        <v>414.78257090359006</v>
      </c>
      <c r="L46" s="36">
        <f t="shared" ref="L46:L55" si="11">I46/D46</f>
        <v>15.999998000001199</v>
      </c>
      <c r="M46" s="96">
        <f t="shared" ref="M46:M55" si="12">IFERROR((I46-I45)/(D46-D45),0)</f>
        <v>12.000004000000001</v>
      </c>
      <c r="N46" s="106" t="str">
        <f t="shared" ref="N46:N55" si="13">IF($N$29="Imperfect",(IF(AND(K46&gt;M46,K47&lt;=M47),"&lt;-- MR ~ MC","")),(IF(AND($C$12&gt;M46,$C$12&lt;=M47),"&lt;-- P ~ MC","")))</f>
        <v/>
      </c>
      <c r="O46" s="26">
        <f>(D46+D45)/2</f>
        <v>1250001</v>
      </c>
    </row>
    <row r="47" spans="3:15" ht="15" thickBot="1" x14ac:dyDescent="0.4">
      <c r="D47" s="35">
        <f t="shared" ref="D47:D55" si="14">D46+2500000</f>
        <v>5000001</v>
      </c>
      <c r="E47" s="35">
        <f t="shared" ref="E47:E55" si="15">$D$24+$D$22*D47</f>
        <v>414.78258794706903</v>
      </c>
      <c r="F47" s="24">
        <f t="shared" si="7"/>
        <v>2073913354.5179331</v>
      </c>
      <c r="G47" s="19">
        <v>110000021.000001</v>
      </c>
      <c r="H47" s="24">
        <f t="shared" ref="H47:H55" si="16">H46</f>
        <v>10000000</v>
      </c>
      <c r="I47" s="19">
        <f t="shared" si="8"/>
        <v>120000021.000001</v>
      </c>
      <c r="J47" s="19">
        <f t="shared" si="9"/>
        <v>1953913333.5179322</v>
      </c>
      <c r="K47" s="36">
        <f t="shared" si="10"/>
        <v>329.56517589413806</v>
      </c>
      <c r="L47" s="36">
        <f t="shared" si="11"/>
        <v>23.99999940000032</v>
      </c>
      <c r="M47" s="96">
        <f t="shared" si="12"/>
        <v>32.000003999999997</v>
      </c>
      <c r="N47" s="106" t="str">
        <f t="shared" si="13"/>
        <v/>
      </c>
      <c r="O47" s="26">
        <f>(D47+D46)/2</f>
        <v>3750001</v>
      </c>
    </row>
    <row r="48" spans="3:15" ht="15" thickBot="1" x14ac:dyDescent="0.4">
      <c r="D48" s="35">
        <f t="shared" si="14"/>
        <v>7500001</v>
      </c>
      <c r="E48" s="35">
        <f t="shared" si="15"/>
        <v>372.17389044234307</v>
      </c>
      <c r="F48" s="24">
        <f t="shared" si="7"/>
        <v>2791304550.4914637</v>
      </c>
      <c r="G48" s="19">
        <v>240000031.00000098</v>
      </c>
      <c r="H48" s="24">
        <f t="shared" si="16"/>
        <v>10000000</v>
      </c>
      <c r="I48" s="19">
        <f t="shared" si="8"/>
        <v>250000031.00000098</v>
      </c>
      <c r="J48" s="19">
        <f t="shared" si="9"/>
        <v>2541304519.4914627</v>
      </c>
      <c r="K48" s="36">
        <f t="shared" si="10"/>
        <v>244.34778088468613</v>
      </c>
      <c r="L48" s="36">
        <f t="shared" si="11"/>
        <v>33.333333022222398</v>
      </c>
      <c r="M48" s="96">
        <f t="shared" si="12"/>
        <v>52.000003999999997</v>
      </c>
      <c r="N48" s="106" t="str">
        <f t="shared" si="13"/>
        <v/>
      </c>
      <c r="O48" s="26">
        <f>(D48+D47)/2</f>
        <v>6250001</v>
      </c>
    </row>
    <row r="49" spans="3:15" ht="15" thickBot="1" x14ac:dyDescent="0.4">
      <c r="D49" s="35">
        <f t="shared" si="14"/>
        <v>10000001</v>
      </c>
      <c r="E49" s="35">
        <f t="shared" si="15"/>
        <v>329.5651929376171</v>
      </c>
      <c r="F49" s="24">
        <f t="shared" si="7"/>
        <v>3295652258.9413638</v>
      </c>
      <c r="G49" s="19">
        <v>420000041.00000095</v>
      </c>
      <c r="H49" s="24">
        <f t="shared" si="16"/>
        <v>10000000</v>
      </c>
      <c r="I49" s="19">
        <f t="shared" si="8"/>
        <v>430000041.00000095</v>
      </c>
      <c r="J49" s="19">
        <f t="shared" si="9"/>
        <v>2865652217.9413629</v>
      </c>
      <c r="K49" s="36">
        <f t="shared" si="10"/>
        <v>159.1303858752342</v>
      </c>
      <c r="L49" s="36">
        <f t="shared" si="11"/>
        <v>42.999999800000118</v>
      </c>
      <c r="M49" s="96">
        <f t="shared" si="12"/>
        <v>72.00000399999999</v>
      </c>
      <c r="N49" s="106" t="str">
        <f t="shared" si="13"/>
        <v>&lt;-- MR ~ MC</v>
      </c>
      <c r="O49" s="26">
        <f>(D49+D48)/2</f>
        <v>8750001</v>
      </c>
    </row>
    <row r="50" spans="3:15" ht="15" thickBot="1" x14ac:dyDescent="0.4">
      <c r="C50" s="8"/>
      <c r="D50" s="35">
        <f t="shared" si="14"/>
        <v>12500001</v>
      </c>
      <c r="E50" s="35">
        <f t="shared" si="15"/>
        <v>286.95649543289107</v>
      </c>
      <c r="F50" s="24">
        <f t="shared" si="7"/>
        <v>3586956479.8676338</v>
      </c>
      <c r="G50" s="19">
        <v>650000051.00000095</v>
      </c>
      <c r="H50" s="24">
        <f t="shared" si="16"/>
        <v>10000000</v>
      </c>
      <c r="I50" s="19">
        <f>G50+H50</f>
        <v>660000051.00000095</v>
      </c>
      <c r="J50" s="19">
        <f t="shared" si="9"/>
        <v>2926956428.8676329</v>
      </c>
      <c r="K50" s="36">
        <f t="shared" si="10"/>
        <v>73.912990865782206</v>
      </c>
      <c r="L50" s="36">
        <f t="shared" si="11"/>
        <v>52.799999856000085</v>
      </c>
      <c r="M50" s="96">
        <f t="shared" si="12"/>
        <v>92.000004000000004</v>
      </c>
      <c r="N50" s="106" t="str">
        <f t="shared" si="13"/>
        <v/>
      </c>
      <c r="O50" s="41">
        <f>(D50+D49)/2</f>
        <v>11250001</v>
      </c>
    </row>
    <row r="51" spans="3:15" ht="15" thickBot="1" x14ac:dyDescent="0.4">
      <c r="D51" s="35">
        <f t="shared" si="14"/>
        <v>15000001</v>
      </c>
      <c r="E51" s="35">
        <f t="shared" si="15"/>
        <v>244.34779792816514</v>
      </c>
      <c r="F51" s="24">
        <f t="shared" si="7"/>
        <v>3665217213.2702751</v>
      </c>
      <c r="G51" s="19">
        <v>930000061.00000095</v>
      </c>
      <c r="H51" s="24">
        <f t="shared" si="16"/>
        <v>10000000</v>
      </c>
      <c r="I51" s="19">
        <f t="shared" si="8"/>
        <v>940000061.00000095</v>
      </c>
      <c r="J51" s="19">
        <f t="shared" si="9"/>
        <v>2725217152.2702742</v>
      </c>
      <c r="K51" s="36">
        <f t="shared" si="10"/>
        <v>-11.304404143669728</v>
      </c>
      <c r="L51" s="36">
        <f t="shared" si="11"/>
        <v>62.666666555555629</v>
      </c>
      <c r="M51" s="96">
        <f t="shared" si="12"/>
        <v>112.000004</v>
      </c>
      <c r="N51" s="106" t="str">
        <f t="shared" si="13"/>
        <v/>
      </c>
      <c r="O51" s="26">
        <f>(D51+D49)/2</f>
        <v>12500001</v>
      </c>
    </row>
    <row r="52" spans="3:15" ht="15" thickBot="1" x14ac:dyDescent="0.4">
      <c r="D52" s="35">
        <f t="shared" si="14"/>
        <v>17500001</v>
      </c>
      <c r="E52" s="35">
        <f t="shared" si="15"/>
        <v>201.73910042343914</v>
      </c>
      <c r="F52" s="24">
        <f t="shared" si="7"/>
        <v>3530434459.1492853</v>
      </c>
      <c r="G52" s="19">
        <v>1260000071.000001</v>
      </c>
      <c r="H52" s="24">
        <f t="shared" si="16"/>
        <v>10000000</v>
      </c>
      <c r="I52" s="19">
        <f t="shared" si="8"/>
        <v>1270000071.000001</v>
      </c>
      <c r="J52" s="19">
        <f t="shared" si="9"/>
        <v>2260434388.1492844</v>
      </c>
      <c r="K52" s="36">
        <f t="shared" si="10"/>
        <v>-96.521799153121719</v>
      </c>
      <c r="L52" s="36">
        <f t="shared" si="11"/>
        <v>72.571428481632708</v>
      </c>
      <c r="M52" s="96">
        <f t="shared" si="12"/>
        <v>132.00000399999999</v>
      </c>
      <c r="N52" s="106" t="str">
        <f t="shared" si="13"/>
        <v/>
      </c>
      <c r="O52" s="26">
        <f t="shared" ref="O52:O55" si="17">(D52+D51)/2</f>
        <v>16250001</v>
      </c>
    </row>
    <row r="53" spans="3:15" ht="15" thickBot="1" x14ac:dyDescent="0.4">
      <c r="D53" s="35">
        <f t="shared" si="14"/>
        <v>20000001</v>
      </c>
      <c r="E53" s="35">
        <f t="shared" si="15"/>
        <v>159.13040291871317</v>
      </c>
      <c r="F53" s="24">
        <f t="shared" si="7"/>
        <v>3182608217.5046663</v>
      </c>
      <c r="G53" s="19">
        <v>1640000081.000001</v>
      </c>
      <c r="H53" s="24">
        <f t="shared" si="16"/>
        <v>10000000</v>
      </c>
      <c r="I53" s="19">
        <f t="shared" si="8"/>
        <v>1650000081.000001</v>
      </c>
      <c r="J53" s="19">
        <f t="shared" si="9"/>
        <v>1532608136.5046654</v>
      </c>
      <c r="K53" s="36">
        <f t="shared" si="10"/>
        <v>-181.73919416257365</v>
      </c>
      <c r="L53" s="36">
        <f t="shared" si="11"/>
        <v>82.499999925000054</v>
      </c>
      <c r="M53" s="96">
        <f t="shared" si="12"/>
        <v>152.00000399999999</v>
      </c>
      <c r="N53" s="106" t="str">
        <f t="shared" si="13"/>
        <v/>
      </c>
      <c r="O53" s="26">
        <f t="shared" si="17"/>
        <v>18750001</v>
      </c>
    </row>
    <row r="54" spans="3:15" ht="15" thickBot="1" x14ac:dyDescent="0.4">
      <c r="D54" s="35">
        <f t="shared" si="14"/>
        <v>22500001</v>
      </c>
      <c r="E54" s="35">
        <f t="shared" si="15"/>
        <v>116.52170541398721</v>
      </c>
      <c r="F54" s="24">
        <f t="shared" si="7"/>
        <v>2621738488.3364177</v>
      </c>
      <c r="G54" s="19">
        <v>2070000091.000001</v>
      </c>
      <c r="H54" s="24">
        <f t="shared" si="16"/>
        <v>10000000</v>
      </c>
      <c r="I54" s="19">
        <f t="shared" si="8"/>
        <v>2080000091.000001</v>
      </c>
      <c r="J54" s="19">
        <f t="shared" si="9"/>
        <v>541738397.33641672</v>
      </c>
      <c r="K54" s="36">
        <f t="shared" si="10"/>
        <v>-266.95658917202559</v>
      </c>
      <c r="L54" s="36">
        <f t="shared" si="11"/>
        <v>92.444444380246964</v>
      </c>
      <c r="M54" s="96">
        <f t="shared" si="12"/>
        <v>172.00000399999999</v>
      </c>
      <c r="N54" s="106" t="str">
        <f t="shared" si="13"/>
        <v/>
      </c>
      <c r="O54" s="26">
        <f t="shared" si="17"/>
        <v>21250001</v>
      </c>
    </row>
    <row r="55" spans="3:15" ht="15" thickBot="1" x14ac:dyDescent="0.4">
      <c r="D55" s="35">
        <f t="shared" si="14"/>
        <v>25000001</v>
      </c>
      <c r="E55" s="35">
        <f t="shared" si="15"/>
        <v>73.913007909261239</v>
      </c>
      <c r="F55" s="24">
        <f t="shared" si="7"/>
        <v>1847825271.6445389</v>
      </c>
      <c r="G55" s="19">
        <v>2550000101.000001</v>
      </c>
      <c r="H55" s="24">
        <f t="shared" si="16"/>
        <v>10000000</v>
      </c>
      <c r="I55" s="19">
        <f t="shared" si="8"/>
        <v>2560000101.000001</v>
      </c>
      <c r="J55" s="19">
        <f t="shared" si="9"/>
        <v>-712174829.35546207</v>
      </c>
      <c r="K55" s="36">
        <f t="shared" si="10"/>
        <v>-352.17398418147752</v>
      </c>
      <c r="L55" s="36">
        <f t="shared" si="11"/>
        <v>102.39999994400004</v>
      </c>
      <c r="M55" s="96">
        <f t="shared" si="12"/>
        <v>192.00000399999999</v>
      </c>
      <c r="N55" s="106" t="str">
        <f t="shared" si="13"/>
        <v/>
      </c>
      <c r="O55" s="26">
        <f t="shared" si="17"/>
        <v>23750001</v>
      </c>
    </row>
  </sheetData>
  <mergeCells count="15">
    <mergeCell ref="N7:P7"/>
    <mergeCell ref="N2:P2"/>
    <mergeCell ref="L3:M3"/>
    <mergeCell ref="N4:P4"/>
    <mergeCell ref="N5:P5"/>
    <mergeCell ref="N6:P6"/>
    <mergeCell ref="N13:P13"/>
    <mergeCell ref="B16:C16"/>
    <mergeCell ref="B17:C17"/>
    <mergeCell ref="N8:P8"/>
    <mergeCell ref="B9:B10"/>
    <mergeCell ref="N9:P9"/>
    <mergeCell ref="N10:P10"/>
    <mergeCell ref="N11:P11"/>
    <mergeCell ref="N12:P12"/>
  </mergeCells>
  <conditionalFormatting sqref="D31:O41 M45:N55">
    <cfRule type="expression" dxfId="11" priority="2">
      <formula>$N31&lt;&gt;""</formula>
    </cfRule>
  </conditionalFormatting>
  <conditionalFormatting sqref="G45">
    <cfRule type="expression" dxfId="10" priority="1">
      <formula>$N45&lt;&gt;""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3B31-74B9-48A1-B704-3B1C69657382}">
  <dimension ref="B2:AN56"/>
  <sheetViews>
    <sheetView topLeftCell="H18" workbookViewId="0">
      <selection activeCell="C30" sqref="C30:O46"/>
    </sheetView>
  </sheetViews>
  <sheetFormatPr defaultColWidth="2.26953125" defaultRowHeight="14.5" x14ac:dyDescent="0.35"/>
  <cols>
    <col min="1" max="1" width="2.26953125" style="9"/>
    <col min="2" max="2" width="19.7265625" style="9" bestFit="1" customWidth="1"/>
    <col min="3" max="3" width="17.54296875" style="9" bestFit="1" customWidth="1"/>
    <col min="4" max="4" width="11.54296875" style="9" bestFit="1" customWidth="1"/>
    <col min="5" max="5" width="9" style="9" bestFit="1" customWidth="1"/>
    <col min="6" max="6" width="19.7265625" style="9" bestFit="1" customWidth="1"/>
    <col min="7" max="7" width="16.26953125" style="9" bestFit="1" customWidth="1"/>
    <col min="8" max="8" width="13.7265625" style="9" bestFit="1" customWidth="1"/>
    <col min="9" max="9" width="16.26953125" style="9" bestFit="1" customWidth="1"/>
    <col min="10" max="10" width="15.81640625" style="9" bestFit="1" customWidth="1"/>
    <col min="11" max="11" width="21.7265625" style="9" bestFit="1" customWidth="1"/>
    <col min="12" max="12" width="22.453125" style="9" bestFit="1" customWidth="1"/>
    <col min="13" max="13" width="17.54296875" style="9" bestFit="1" customWidth="1"/>
    <col min="14" max="14" width="11.1796875" style="9" bestFit="1" customWidth="1"/>
    <col min="15" max="16" width="15" style="9" bestFit="1" customWidth="1"/>
    <col min="17" max="17" width="19.7265625" style="9" customWidth="1"/>
    <col min="18" max="18" width="10" style="9" bestFit="1" customWidth="1"/>
    <col min="19" max="19" width="3.54296875" style="9" bestFit="1" customWidth="1"/>
    <col min="20" max="20" width="15.7265625" style="9" bestFit="1" customWidth="1"/>
    <col min="21" max="16384" width="2.26953125" style="9"/>
  </cols>
  <sheetData>
    <row r="2" spans="2:11" x14ac:dyDescent="0.35">
      <c r="B2" s="10" t="s">
        <v>20</v>
      </c>
      <c r="C2" s="10"/>
      <c r="D2" s="10"/>
    </row>
    <row r="3" spans="2:11" x14ac:dyDescent="0.35">
      <c r="B3" s="11" t="s">
        <v>8</v>
      </c>
      <c r="C3" s="11"/>
      <c r="D3" s="11"/>
    </row>
    <row r="4" spans="2:11" x14ac:dyDescent="0.35">
      <c r="B4" s="12" t="s">
        <v>1</v>
      </c>
      <c r="C4" s="12"/>
      <c r="D4" s="12"/>
    </row>
    <row r="5" spans="2:11" x14ac:dyDescent="0.35">
      <c r="B5" s="13" t="s">
        <v>10</v>
      </c>
      <c r="C5" s="13"/>
      <c r="D5" s="13"/>
    </row>
    <row r="6" spans="2:11" x14ac:dyDescent="0.35">
      <c r="B6" s="14" t="s">
        <v>21</v>
      </c>
      <c r="C6" s="14"/>
      <c r="D6" s="14"/>
    </row>
    <row r="9" spans="2:11" x14ac:dyDescent="0.35">
      <c r="C9" s="3" t="s">
        <v>26</v>
      </c>
      <c r="D9" s="9" t="s">
        <v>38</v>
      </c>
      <c r="E9" s="9" t="s">
        <v>40</v>
      </c>
      <c r="F9" s="9" t="s">
        <v>38</v>
      </c>
      <c r="G9" s="9" t="s">
        <v>43</v>
      </c>
      <c r="H9" s="9" t="s">
        <v>70</v>
      </c>
      <c r="J9" s="9">
        <v>1</v>
      </c>
    </row>
    <row r="10" spans="2:11" ht="15" thickBot="1" x14ac:dyDescent="0.4">
      <c r="C10" s="5" t="s">
        <v>41</v>
      </c>
      <c r="D10" s="9" t="s">
        <v>39</v>
      </c>
      <c r="E10" s="9" t="s">
        <v>9</v>
      </c>
      <c r="F10" s="9" t="s">
        <v>41</v>
      </c>
      <c r="G10" s="9" t="s">
        <v>44</v>
      </c>
      <c r="H10" s="5" t="s">
        <v>41</v>
      </c>
    </row>
    <row r="11" spans="2:11" ht="15" thickBot="1" x14ac:dyDescent="0.4">
      <c r="B11" s="2" t="s">
        <v>36</v>
      </c>
      <c r="C11" s="7">
        <v>270</v>
      </c>
      <c r="D11" s="9">
        <v>86</v>
      </c>
      <c r="E11" s="38">
        <f>D11/$D$13</f>
        <v>0.89583333333333337</v>
      </c>
      <c r="F11" s="9">
        <v>2.5</v>
      </c>
      <c r="G11" s="4">
        <f>D11/F11*1000000</f>
        <v>34400000</v>
      </c>
      <c r="H11" s="7"/>
      <c r="I11" s="69">
        <v>1E-8</v>
      </c>
      <c r="J11" s="9" t="s">
        <v>46</v>
      </c>
      <c r="K11" s="9" t="s">
        <v>98</v>
      </c>
    </row>
    <row r="12" spans="2:11" ht="15" thickBot="1" x14ac:dyDescent="0.4">
      <c r="B12" s="2" t="s">
        <v>37</v>
      </c>
      <c r="C12" s="7">
        <f>C11-150</f>
        <v>120</v>
      </c>
      <c r="D12" s="9">
        <v>10</v>
      </c>
      <c r="E12" s="38">
        <f>D12/$D$13</f>
        <v>0.10416666666666667</v>
      </c>
      <c r="F12" s="9">
        <v>2.5</v>
      </c>
      <c r="G12" s="4">
        <f>D12/F12*1000000</f>
        <v>4000000</v>
      </c>
      <c r="H12" s="7"/>
      <c r="K12" s="81">
        <f>C12*40000000</f>
        <v>4800000000</v>
      </c>
    </row>
    <row r="13" spans="2:11" ht="15" thickBot="1" x14ac:dyDescent="0.4">
      <c r="B13" s="2" t="s">
        <v>5</v>
      </c>
      <c r="C13" s="7"/>
      <c r="D13" s="9">
        <f>SUM(D11:D12)</f>
        <v>96</v>
      </c>
      <c r="E13" s="38">
        <f>D13/$D$13</f>
        <v>1</v>
      </c>
      <c r="F13" s="9">
        <v>2.5</v>
      </c>
      <c r="G13" s="4">
        <f>D13/F13*1000000</f>
        <v>38400000</v>
      </c>
      <c r="H13" s="7"/>
      <c r="K13" s="27">
        <f>K12-H18</f>
        <v>4670000000</v>
      </c>
    </row>
    <row r="14" spans="2:11" x14ac:dyDescent="0.35">
      <c r="B14" s="2" t="s">
        <v>45</v>
      </c>
      <c r="C14" s="39">
        <v>107.99</v>
      </c>
      <c r="E14" s="38"/>
      <c r="F14" s="9">
        <v>0.26417200000000002</v>
      </c>
      <c r="G14" s="4"/>
      <c r="H14" s="39"/>
      <c r="I14" s="9">
        <f>D11*F14</f>
        <v>22.718792000000001</v>
      </c>
      <c r="K14" s="39"/>
    </row>
    <row r="15" spans="2:11" x14ac:dyDescent="0.35">
      <c r="F15" s="9" t="s">
        <v>47</v>
      </c>
    </row>
    <row r="16" spans="2:11" ht="15" thickBot="1" x14ac:dyDescent="0.4">
      <c r="C16" s="1" t="s">
        <v>2</v>
      </c>
      <c r="D16" s="9" t="s">
        <v>42</v>
      </c>
      <c r="G16" s="23"/>
    </row>
    <row r="17" spans="2:40" s="16" customFormat="1" ht="15" thickBot="1" x14ac:dyDescent="0.4">
      <c r="C17" s="17" t="s">
        <v>29</v>
      </c>
      <c r="D17" s="17" t="s">
        <v>34</v>
      </c>
      <c r="E17" s="17" t="s">
        <v>32</v>
      </c>
      <c r="F17" s="17" t="s">
        <v>3</v>
      </c>
      <c r="G17" s="17" t="s">
        <v>80</v>
      </c>
      <c r="H17" s="17" t="s">
        <v>81</v>
      </c>
      <c r="I17" s="17" t="s">
        <v>79</v>
      </c>
      <c r="J17" s="17" t="s">
        <v>0</v>
      </c>
      <c r="K17" s="17" t="s">
        <v>77</v>
      </c>
      <c r="L17" s="17" t="s">
        <v>76</v>
      </c>
      <c r="M17" s="17" t="s">
        <v>78</v>
      </c>
      <c r="N17" s="68" t="s">
        <v>22</v>
      </c>
      <c r="O17" s="17" t="s">
        <v>28</v>
      </c>
    </row>
    <row r="18" spans="2:40" ht="15" thickBot="1" x14ac:dyDescent="0.4">
      <c r="D18" s="34">
        <v>0</v>
      </c>
      <c r="E18" s="71">
        <v>750</v>
      </c>
      <c r="F18" s="24">
        <f t="shared" ref="F18:F28" si="0">D18*$C$11</f>
        <v>0</v>
      </c>
      <c r="G18" s="19">
        <v>0</v>
      </c>
      <c r="H18" s="24">
        <v>130000000</v>
      </c>
      <c r="I18" s="19">
        <f>G18+H18</f>
        <v>130000000</v>
      </c>
      <c r="J18" s="19">
        <f t="shared" ref="J18:J28" si="1">F18-I18</f>
        <v>-130000000</v>
      </c>
      <c r="K18" s="36">
        <f>$E$18+$C$20*D18</f>
        <v>750</v>
      </c>
      <c r="L18" s="36" t="str">
        <f t="shared" ref="L18:L28" si="2">IFERROR(I18/D18,"")</f>
        <v/>
      </c>
      <c r="M18" s="37">
        <f t="shared" ref="M18" si="3">IFERROR(G18/(D18-D17),0)</f>
        <v>0</v>
      </c>
      <c r="N18" s="26" t="str">
        <f>IF(AND(K18&gt;M18,K19&lt;=M19),"&lt;-- MR ~ MC","")</f>
        <v/>
      </c>
      <c r="O18" s="26"/>
    </row>
    <row r="19" spans="2:40" ht="15" thickBot="1" x14ac:dyDescent="0.4">
      <c r="B19" s="9" t="s">
        <v>99</v>
      </c>
      <c r="C19" s="82">
        <f>SLOPE({500,270},{0,35000000})</f>
        <v>-6.5714285714285714E-6</v>
      </c>
      <c r="D19" s="35">
        <f>D18+5000000</f>
        <v>5000000</v>
      </c>
      <c r="E19" s="24">
        <f>$E$18+slope_GMO_Corn*D19</f>
        <v>717.14285714285711</v>
      </c>
      <c r="F19" s="24">
        <f>D19*$C$11</f>
        <v>1350000000</v>
      </c>
      <c r="G19" s="19">
        <f>$G$18+60*D19+0.00001*D19^2</f>
        <v>550000000</v>
      </c>
      <c r="H19" s="24">
        <v>130000000</v>
      </c>
      <c r="I19" s="19">
        <f t="shared" ref="I19:I28" si="4">G19+H19</f>
        <v>680000000</v>
      </c>
      <c r="J19" s="19">
        <f t="shared" si="1"/>
        <v>670000000</v>
      </c>
      <c r="K19" s="36">
        <f>$E$18+$C$20*D19</f>
        <v>684.28571428571433</v>
      </c>
      <c r="L19" s="36">
        <f t="shared" si="2"/>
        <v>136</v>
      </c>
      <c r="M19" s="37">
        <f>IFERROR((I19-I18)/(D19-D18),0)</f>
        <v>110</v>
      </c>
      <c r="N19" s="26" t="str">
        <f t="shared" ref="N19:N28" si="5">IF(AND(K19&gt;M19,K20&lt;=M20),"&lt;-- MR ~ MC","")</f>
        <v/>
      </c>
      <c r="O19" s="26">
        <f t="shared" ref="O19:O28" si="6">(D19+D18)/2</f>
        <v>2500000</v>
      </c>
    </row>
    <row r="20" spans="2:40" ht="15" thickBot="1" x14ac:dyDescent="0.4">
      <c r="B20" s="9" t="s">
        <v>100</v>
      </c>
      <c r="C20" s="9">
        <f>slope_GMO_Corn*2</f>
        <v>-1.3142857142857143E-5</v>
      </c>
      <c r="D20" s="35">
        <f t="shared" ref="D20:D28" si="7">D19+5000000</f>
        <v>10000000</v>
      </c>
      <c r="E20" s="24">
        <f t="shared" ref="E20:E28" si="8">$E$18+slope_GMO_Corn*D20</f>
        <v>684.28571428571433</v>
      </c>
      <c r="F20" s="24">
        <f t="shared" si="0"/>
        <v>2700000000</v>
      </c>
      <c r="G20" s="19">
        <f t="shared" ref="G20:G28" si="9">$G$18+60*D20+0.00001*D20^2</f>
        <v>1600000000</v>
      </c>
      <c r="H20" s="24">
        <v>130000000</v>
      </c>
      <c r="I20" s="19">
        <f t="shared" si="4"/>
        <v>1730000000</v>
      </c>
      <c r="J20" s="19">
        <f t="shared" si="1"/>
        <v>970000000</v>
      </c>
      <c r="K20" s="36">
        <f t="shared" ref="K20:K28" si="10">$E$18+$C$20*D20</f>
        <v>618.57142857142856</v>
      </c>
      <c r="L20" s="36">
        <f t="shared" si="2"/>
        <v>173</v>
      </c>
      <c r="M20" s="37">
        <f t="shared" ref="M20:M28" si="11">IFERROR((I20-I19)/(D20-D19),0)</f>
        <v>210</v>
      </c>
      <c r="N20" s="26" t="str">
        <f t="shared" si="5"/>
        <v/>
      </c>
      <c r="O20" s="26">
        <f t="shared" si="6"/>
        <v>7500000</v>
      </c>
    </row>
    <row r="21" spans="2:40" ht="15" thickBot="1" x14ac:dyDescent="0.4">
      <c r="D21" s="35">
        <f t="shared" si="7"/>
        <v>15000000</v>
      </c>
      <c r="E21" s="24">
        <f t="shared" si="8"/>
        <v>651.42857142857144</v>
      </c>
      <c r="F21" s="24">
        <f t="shared" si="0"/>
        <v>4050000000</v>
      </c>
      <c r="G21" s="19">
        <f t="shared" si="9"/>
        <v>3150000000</v>
      </c>
      <c r="H21" s="24">
        <v>130000000</v>
      </c>
      <c r="I21" s="19">
        <f t="shared" si="4"/>
        <v>3280000000</v>
      </c>
      <c r="J21" s="19">
        <f t="shared" si="1"/>
        <v>770000000</v>
      </c>
      <c r="K21" s="36">
        <f t="shared" si="10"/>
        <v>552.85714285714289</v>
      </c>
      <c r="L21" s="36">
        <f t="shared" si="2"/>
        <v>218.66666666666666</v>
      </c>
      <c r="M21" s="37">
        <f t="shared" si="11"/>
        <v>310</v>
      </c>
      <c r="N21" s="26" t="str">
        <f t="shared" si="5"/>
        <v/>
      </c>
      <c r="O21" s="26">
        <f t="shared" si="6"/>
        <v>12500000</v>
      </c>
    </row>
    <row r="22" spans="2:40" ht="15" thickBot="1" x14ac:dyDescent="0.4">
      <c r="C22" s="83">
        <v>-6.5714285714285714E-6</v>
      </c>
      <c r="D22" s="35">
        <f t="shared" si="7"/>
        <v>20000000</v>
      </c>
      <c r="E22" s="24">
        <f>$E$18+slope_GMO_Corn*D22</f>
        <v>618.57142857142856</v>
      </c>
      <c r="F22" s="24">
        <f t="shared" si="0"/>
        <v>5400000000</v>
      </c>
      <c r="G22" s="19">
        <f t="shared" si="9"/>
        <v>5200000000</v>
      </c>
      <c r="H22" s="24">
        <v>130000000</v>
      </c>
      <c r="I22" s="19">
        <f t="shared" si="4"/>
        <v>5330000000</v>
      </c>
      <c r="J22" s="19">
        <f t="shared" si="1"/>
        <v>70000000</v>
      </c>
      <c r="K22" s="36">
        <f t="shared" si="10"/>
        <v>487.14285714285717</v>
      </c>
      <c r="L22" s="36">
        <f t="shared" si="2"/>
        <v>266.5</v>
      </c>
      <c r="M22" s="37">
        <f t="shared" si="11"/>
        <v>410</v>
      </c>
      <c r="N22" s="26" t="str">
        <f t="shared" si="5"/>
        <v>&lt;-- MR ~ MC</v>
      </c>
      <c r="O22" s="26">
        <f t="shared" si="6"/>
        <v>17500000</v>
      </c>
    </row>
    <row r="23" spans="2:40" ht="15" thickBot="1" x14ac:dyDescent="0.4">
      <c r="C23" s="84">
        <v>-1.3142857142857101E-5</v>
      </c>
      <c r="D23" s="35">
        <f t="shared" si="7"/>
        <v>25000000</v>
      </c>
      <c r="E23" s="24">
        <f t="shared" si="8"/>
        <v>585.71428571428578</v>
      </c>
      <c r="F23" s="24">
        <f t="shared" si="0"/>
        <v>6750000000</v>
      </c>
      <c r="G23" s="19">
        <f t="shared" si="9"/>
        <v>7750000000.000001</v>
      </c>
      <c r="H23" s="24">
        <v>130000000</v>
      </c>
      <c r="I23" s="19">
        <f>G23+H23</f>
        <v>7880000000.000001</v>
      </c>
      <c r="J23" s="19">
        <f t="shared" si="1"/>
        <v>-1130000000.000001</v>
      </c>
      <c r="K23" s="36">
        <f t="shared" si="10"/>
        <v>421.42857142857144</v>
      </c>
      <c r="L23" s="36">
        <f t="shared" si="2"/>
        <v>315.20000000000005</v>
      </c>
      <c r="M23" s="37">
        <f t="shared" si="11"/>
        <v>510.00000000000017</v>
      </c>
      <c r="N23" s="26" t="str">
        <f t="shared" si="5"/>
        <v/>
      </c>
      <c r="O23" s="26">
        <f t="shared" si="6"/>
        <v>22500000</v>
      </c>
    </row>
    <row r="24" spans="2:40" ht="15" thickBot="1" x14ac:dyDescent="0.4">
      <c r="D24" s="35">
        <f t="shared" si="7"/>
        <v>30000000</v>
      </c>
      <c r="E24" s="24">
        <f t="shared" si="8"/>
        <v>552.85714285714289</v>
      </c>
      <c r="F24" s="24">
        <f t="shared" si="0"/>
        <v>8100000000</v>
      </c>
      <c r="G24" s="19">
        <f t="shared" si="9"/>
        <v>10800000000</v>
      </c>
      <c r="H24" s="24">
        <v>130000000</v>
      </c>
      <c r="I24" s="19">
        <f>G24+H24</f>
        <v>10930000000</v>
      </c>
      <c r="J24" s="19">
        <f t="shared" si="1"/>
        <v>-2830000000</v>
      </c>
      <c r="K24" s="36">
        <f t="shared" si="10"/>
        <v>355.71428571428572</v>
      </c>
      <c r="L24" s="36">
        <f t="shared" si="2"/>
        <v>364.33333333333331</v>
      </c>
      <c r="M24" s="37">
        <f t="shared" si="11"/>
        <v>609.99999999999977</v>
      </c>
      <c r="N24" s="26" t="str">
        <f t="shared" si="5"/>
        <v/>
      </c>
      <c r="O24" s="26">
        <f t="shared" si="6"/>
        <v>27500000</v>
      </c>
    </row>
    <row r="25" spans="2:40" ht="15" thickBot="1" x14ac:dyDescent="0.4">
      <c r="D25" s="35">
        <f t="shared" si="7"/>
        <v>35000000</v>
      </c>
      <c r="E25" s="24">
        <f>$E$18+slope_GMO_Corn*D25</f>
        <v>520</v>
      </c>
      <c r="F25" s="24">
        <f t="shared" si="0"/>
        <v>9450000000</v>
      </c>
      <c r="G25" s="19">
        <f t="shared" si="9"/>
        <v>14350000000.000002</v>
      </c>
      <c r="H25" s="24">
        <v>130000000</v>
      </c>
      <c r="I25" s="19">
        <f>G25+H25</f>
        <v>14480000000.000002</v>
      </c>
      <c r="J25" s="19">
        <f t="shared" si="1"/>
        <v>-5030000000.0000019</v>
      </c>
      <c r="K25" s="36">
        <f t="shared" si="10"/>
        <v>290</v>
      </c>
      <c r="L25" s="36">
        <f>IFERROR(I25/D25,"")</f>
        <v>413.71428571428578</v>
      </c>
      <c r="M25" s="37">
        <f t="shared" si="11"/>
        <v>710.00000000000034</v>
      </c>
      <c r="N25" s="26" t="str">
        <f t="shared" si="5"/>
        <v/>
      </c>
      <c r="O25" s="26">
        <f t="shared" si="6"/>
        <v>32500000</v>
      </c>
    </row>
    <row r="26" spans="2:40" ht="15" thickBot="1" x14ac:dyDescent="0.4">
      <c r="D26" s="35">
        <f t="shared" si="7"/>
        <v>40000000</v>
      </c>
      <c r="E26" s="24">
        <f t="shared" si="8"/>
        <v>487.14285714285717</v>
      </c>
      <c r="F26" s="24">
        <f t="shared" si="0"/>
        <v>10800000000</v>
      </c>
      <c r="G26" s="19">
        <f t="shared" si="9"/>
        <v>18400000000</v>
      </c>
      <c r="H26" s="24">
        <v>130000000</v>
      </c>
      <c r="I26" s="19">
        <f t="shared" si="4"/>
        <v>18530000000</v>
      </c>
      <c r="J26" s="19">
        <f t="shared" si="1"/>
        <v>-7730000000</v>
      </c>
      <c r="K26" s="36">
        <f t="shared" si="10"/>
        <v>224.28571428571433</v>
      </c>
      <c r="L26" s="36">
        <f t="shared" si="2"/>
        <v>463.25</v>
      </c>
      <c r="M26" s="37">
        <f t="shared" si="11"/>
        <v>809.99999999999966</v>
      </c>
      <c r="N26" s="26" t="str">
        <f t="shared" si="5"/>
        <v/>
      </c>
      <c r="O26" s="26">
        <f t="shared" si="6"/>
        <v>37500000</v>
      </c>
    </row>
    <row r="27" spans="2:40" ht="15" thickBot="1" x14ac:dyDescent="0.4">
      <c r="D27" s="35">
        <f t="shared" si="7"/>
        <v>45000000</v>
      </c>
      <c r="E27" s="24">
        <f t="shared" si="8"/>
        <v>454.28571428571428</v>
      </c>
      <c r="F27" s="24">
        <f t="shared" si="0"/>
        <v>12150000000</v>
      </c>
      <c r="G27" s="19">
        <f t="shared" si="9"/>
        <v>22950000000</v>
      </c>
      <c r="H27" s="24">
        <v>130000000</v>
      </c>
      <c r="I27" s="19">
        <f t="shared" si="4"/>
        <v>23080000000</v>
      </c>
      <c r="J27" s="19">
        <f t="shared" si="1"/>
        <v>-10930000000</v>
      </c>
      <c r="K27" s="36">
        <f t="shared" si="10"/>
        <v>158.57142857142856</v>
      </c>
      <c r="L27" s="36">
        <f t="shared" si="2"/>
        <v>512.88888888888891</v>
      </c>
      <c r="M27" s="37">
        <f t="shared" si="11"/>
        <v>910</v>
      </c>
      <c r="N27" s="26" t="str">
        <f t="shared" si="5"/>
        <v/>
      </c>
      <c r="O27" s="26">
        <f t="shared" si="6"/>
        <v>42500000</v>
      </c>
    </row>
    <row r="28" spans="2:40" ht="15" thickBot="1" x14ac:dyDescent="0.4">
      <c r="D28" s="35">
        <f t="shared" si="7"/>
        <v>50000000</v>
      </c>
      <c r="E28" s="24">
        <f t="shared" si="8"/>
        <v>421.42857142857144</v>
      </c>
      <c r="F28" s="24">
        <f t="shared" si="0"/>
        <v>13500000000</v>
      </c>
      <c r="G28" s="19">
        <f t="shared" si="9"/>
        <v>28000000000.000004</v>
      </c>
      <c r="H28" s="24">
        <v>130000000</v>
      </c>
      <c r="I28" s="19">
        <f t="shared" si="4"/>
        <v>28130000000.000004</v>
      </c>
      <c r="J28" s="19">
        <f t="shared" si="1"/>
        <v>-14630000000.000004</v>
      </c>
      <c r="K28" s="36">
        <f t="shared" si="10"/>
        <v>92.85714285714289</v>
      </c>
      <c r="L28" s="36">
        <f t="shared" si="2"/>
        <v>562.6</v>
      </c>
      <c r="M28" s="37">
        <f t="shared" si="11"/>
        <v>1010.0000000000008</v>
      </c>
      <c r="N28" s="26" t="str">
        <f t="shared" si="5"/>
        <v/>
      </c>
      <c r="O28" s="26">
        <f t="shared" si="6"/>
        <v>47500000</v>
      </c>
    </row>
    <row r="29" spans="2:40" ht="15" thickBot="1" x14ac:dyDescent="0.4">
      <c r="G29" s="8"/>
      <c r="I29" s="27"/>
    </row>
    <row r="30" spans="2:40" ht="15" thickBot="1" x14ac:dyDescent="0.4">
      <c r="C30" s="17" t="s">
        <v>30</v>
      </c>
      <c r="D30" s="17" t="s">
        <v>18</v>
      </c>
      <c r="E30" s="17"/>
      <c r="F30" s="17" t="s">
        <v>19</v>
      </c>
      <c r="G30" s="17" t="s">
        <v>14</v>
      </c>
      <c r="H30" s="17" t="s">
        <v>15</v>
      </c>
      <c r="I30" s="28" t="s">
        <v>16</v>
      </c>
      <c r="J30" s="17" t="s">
        <v>17</v>
      </c>
      <c r="K30" s="17" t="s">
        <v>35</v>
      </c>
      <c r="L30" s="17" t="s">
        <v>49</v>
      </c>
      <c r="M30" s="17" t="s">
        <v>27</v>
      </c>
      <c r="N30" s="17" t="s">
        <v>48</v>
      </c>
      <c r="O30" s="17" t="s">
        <v>28</v>
      </c>
    </row>
    <row r="31" spans="2:40" ht="15" thickBot="1" x14ac:dyDescent="0.4">
      <c r="D31" s="34">
        <v>0</v>
      </c>
      <c r="E31" s="35">
        <f>$C$14-(-2.88298498535156E-06*I14*1000000)</f>
        <v>173.48793622132513</v>
      </c>
      <c r="F31" s="24">
        <f>D31*E31</f>
        <v>0</v>
      </c>
      <c r="G31" s="19"/>
      <c r="H31" s="24">
        <v>10000000</v>
      </c>
      <c r="I31" s="19">
        <f>G31+H31</f>
        <v>10000000</v>
      </c>
      <c r="J31" s="19">
        <f t="shared" ref="J31:J44" si="12">F31-I31</f>
        <v>-10000000</v>
      </c>
      <c r="K31" s="36" t="str">
        <f t="shared" ref="K31:K36" si="13">IFERROR(F31-F30,"")</f>
        <v/>
      </c>
      <c r="L31" s="36" t="e">
        <f t="shared" ref="L31:L44" si="14">I31/D31</f>
        <v>#DIV/0!</v>
      </c>
      <c r="M31" s="37" t="e">
        <f>I31-I30</f>
        <v>#VALUE!</v>
      </c>
      <c r="N31" s="26" t="e">
        <f>IF(AND(K31&gt;M31,K32&lt;M32),"&lt;-- P ~ MC","")</f>
        <v>#VALUE!</v>
      </c>
      <c r="O31" s="2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</row>
    <row r="32" spans="2:40" ht="15" thickBot="1" x14ac:dyDescent="0.4">
      <c r="D32" s="35">
        <f>D31+5000000</f>
        <v>5000000</v>
      </c>
      <c r="E32" s="35">
        <f>$E$31+-2.88298498535156E-06*D32</f>
        <v>159.07301129456732</v>
      </c>
      <c r="F32" s="24">
        <f t="shared" ref="F32:F44" si="15">D32*E32</f>
        <v>795365056.47283661</v>
      </c>
      <c r="G32" s="19"/>
      <c r="H32" s="24">
        <f>H31</f>
        <v>10000000</v>
      </c>
      <c r="I32" s="19">
        <f t="shared" ref="I32:I42" si="16">G32+H32</f>
        <v>10000000</v>
      </c>
      <c r="J32" s="19">
        <f t="shared" si="12"/>
        <v>785365056.47283661</v>
      </c>
      <c r="K32" s="19">
        <f t="shared" si="13"/>
        <v>795365056.47283661</v>
      </c>
      <c r="L32" s="36">
        <f t="shared" si="14"/>
        <v>2</v>
      </c>
      <c r="M32" s="37">
        <f t="shared" ref="M32:M44" si="17">I32-I31</f>
        <v>0</v>
      </c>
      <c r="N32" s="26" t="str">
        <f>IF(AND(K32&gt;M32,K33&lt;M33),"&lt;-- P ~ MC","")</f>
        <v/>
      </c>
      <c r="O32" s="26">
        <f>(D32+D31)/2</f>
        <v>2500000</v>
      </c>
    </row>
    <row r="33" spans="4:15" ht="15" thickBot="1" x14ac:dyDescent="0.4">
      <c r="D33" s="35">
        <f t="shared" ref="D33:D44" si="18">D32+5000000</f>
        <v>10000000</v>
      </c>
      <c r="E33" s="35">
        <f>$E$31+-2.88298498535156E-06*D33</f>
        <v>144.65808636780952</v>
      </c>
      <c r="F33" s="24">
        <f t="shared" si="15"/>
        <v>1446580863.6780951</v>
      </c>
      <c r="G33" s="19"/>
      <c r="H33" s="24">
        <f t="shared" ref="H33:H44" si="19">H32</f>
        <v>10000000</v>
      </c>
      <c r="I33" s="19">
        <f t="shared" si="16"/>
        <v>10000000</v>
      </c>
      <c r="J33" s="19">
        <f t="shared" si="12"/>
        <v>1436580863.6780951</v>
      </c>
      <c r="K33" s="19">
        <f t="shared" si="13"/>
        <v>651215807.20525849</v>
      </c>
      <c r="L33" s="36">
        <f t="shared" si="14"/>
        <v>1</v>
      </c>
      <c r="M33" s="37">
        <f t="shared" si="17"/>
        <v>0</v>
      </c>
      <c r="N33" s="26" t="str">
        <f>IF(AND(K33&gt;M33,K34&lt;M34),"&lt;-- P ~ MC","")</f>
        <v/>
      </c>
      <c r="O33" s="26">
        <f>(D33+D32)/2</f>
        <v>7500000</v>
      </c>
    </row>
    <row r="34" spans="4:15" ht="15" thickBot="1" x14ac:dyDescent="0.4">
      <c r="D34" s="35">
        <f t="shared" si="18"/>
        <v>15000000</v>
      </c>
      <c r="E34" s="35">
        <f t="shared" ref="E34:E44" si="20">$E$31+-2.88298498535156E-06*D34</f>
        <v>130.24316144105171</v>
      </c>
      <c r="F34" s="24">
        <f t="shared" si="15"/>
        <v>1953647421.6157756</v>
      </c>
      <c r="G34" s="19"/>
      <c r="H34" s="24">
        <f t="shared" si="19"/>
        <v>10000000</v>
      </c>
      <c r="I34" s="19">
        <f t="shared" si="16"/>
        <v>10000000</v>
      </c>
      <c r="J34" s="19">
        <f t="shared" si="12"/>
        <v>1943647421.6157756</v>
      </c>
      <c r="K34" s="19">
        <f t="shared" si="13"/>
        <v>507066557.93768048</v>
      </c>
      <c r="L34" s="36">
        <f t="shared" si="14"/>
        <v>0.66666666666666663</v>
      </c>
      <c r="M34" s="37">
        <f t="shared" si="17"/>
        <v>0</v>
      </c>
      <c r="N34" s="26" t="str">
        <f>IF(AND(K34&gt;M34,K35&lt;M35),"&lt;-- P ~ MC","")</f>
        <v/>
      </c>
      <c r="O34" s="26">
        <f>(D34+D33)/2</f>
        <v>12500000</v>
      </c>
    </row>
    <row r="35" spans="4:15" ht="15" thickBot="1" x14ac:dyDescent="0.4">
      <c r="D35" s="35">
        <f t="shared" si="18"/>
        <v>20000000</v>
      </c>
      <c r="E35" s="35">
        <f t="shared" si="20"/>
        <v>115.82823651429393</v>
      </c>
      <c r="F35" s="24">
        <f t="shared" si="15"/>
        <v>2316564730.2858787</v>
      </c>
      <c r="G35" s="19"/>
      <c r="H35" s="24">
        <f t="shared" si="19"/>
        <v>10000000</v>
      </c>
      <c r="I35" s="19">
        <f t="shared" si="16"/>
        <v>10000000</v>
      </c>
      <c r="J35" s="19">
        <f t="shared" si="12"/>
        <v>2306564730.2858787</v>
      </c>
      <c r="K35" s="19">
        <f t="shared" si="13"/>
        <v>362917308.67010307</v>
      </c>
      <c r="L35" s="36">
        <f t="shared" si="14"/>
        <v>0.5</v>
      </c>
      <c r="M35" s="37">
        <f t="shared" si="17"/>
        <v>0</v>
      </c>
      <c r="N35" s="26" t="s">
        <v>48</v>
      </c>
      <c r="O35" s="26">
        <f>(D35+D34)/2</f>
        <v>17500000</v>
      </c>
    </row>
    <row r="36" spans="4:15" s="8" customFormat="1" ht="15" thickBot="1" x14ac:dyDescent="0.4">
      <c r="D36" s="18">
        <f>I14*1000000</f>
        <v>22718792</v>
      </c>
      <c r="E36" s="18">
        <f t="shared" si="20"/>
        <v>107.99</v>
      </c>
      <c r="F36" s="19">
        <f>D36*E36</f>
        <v>2453402348.0799999</v>
      </c>
      <c r="G36" s="19"/>
      <c r="H36" s="19">
        <f>H35</f>
        <v>10000000</v>
      </c>
      <c r="I36" s="19">
        <f>G36+H36</f>
        <v>10000000</v>
      </c>
      <c r="J36" s="19">
        <f t="shared" si="12"/>
        <v>2443402348.0799999</v>
      </c>
      <c r="K36" s="19">
        <f t="shared" si="13"/>
        <v>136837617.79412127</v>
      </c>
      <c r="L36" s="36">
        <f t="shared" si="14"/>
        <v>0.44016424816953298</v>
      </c>
      <c r="M36" s="37">
        <f t="shared" si="17"/>
        <v>0</v>
      </c>
      <c r="N36" s="41" t="s">
        <v>48</v>
      </c>
      <c r="O36" s="41">
        <f>(D36+D35)/2</f>
        <v>21359396</v>
      </c>
    </row>
    <row r="37" spans="4:15" ht="15" thickBot="1" x14ac:dyDescent="0.4">
      <c r="D37" s="35">
        <f>D35+5000000</f>
        <v>25000000</v>
      </c>
      <c r="E37" s="35">
        <f t="shared" si="20"/>
        <v>101.41331158753613</v>
      </c>
      <c r="F37" s="24">
        <f t="shared" si="15"/>
        <v>2535332789.6884031</v>
      </c>
      <c r="G37" s="19"/>
      <c r="H37" s="24">
        <f>H35</f>
        <v>10000000</v>
      </c>
      <c r="I37" s="19">
        <f t="shared" si="16"/>
        <v>10000000</v>
      </c>
      <c r="J37" s="19">
        <f t="shared" si="12"/>
        <v>2525332789.6884031</v>
      </c>
      <c r="K37" s="19">
        <f>IFERROR(F37-F35,"")</f>
        <v>218768059.40252447</v>
      </c>
      <c r="L37" s="36">
        <f t="shared" si="14"/>
        <v>0.4</v>
      </c>
      <c r="M37" s="37">
        <f t="shared" si="17"/>
        <v>0</v>
      </c>
      <c r="N37" s="26" t="str">
        <f t="shared" ref="N37:N44" si="21">IF(AND(K37&gt;M37,K38&lt;M38),"&lt;-- P ~ MC","")</f>
        <v/>
      </c>
      <c r="O37" s="26">
        <f>(D37+D35)/2</f>
        <v>22500000</v>
      </c>
    </row>
    <row r="38" spans="4:15" ht="15" thickBot="1" x14ac:dyDescent="0.4">
      <c r="D38" s="35">
        <f t="shared" si="18"/>
        <v>30000000</v>
      </c>
      <c r="E38" s="35">
        <f t="shared" si="20"/>
        <v>86.998386660778323</v>
      </c>
      <c r="F38" s="24">
        <f t="shared" si="15"/>
        <v>2609951599.8233495</v>
      </c>
      <c r="G38" s="19"/>
      <c r="H38" s="24">
        <f t="shared" si="19"/>
        <v>10000000</v>
      </c>
      <c r="I38" s="19">
        <f t="shared" si="16"/>
        <v>10000000</v>
      </c>
      <c r="J38" s="19">
        <f t="shared" si="12"/>
        <v>2599951599.8233495</v>
      </c>
      <c r="K38" s="19">
        <f t="shared" ref="K38:K44" si="22">IFERROR(F38-F37,"")</f>
        <v>74618810.134946346</v>
      </c>
      <c r="L38" s="36">
        <f t="shared" si="14"/>
        <v>0.33333333333333331</v>
      </c>
      <c r="M38" s="37">
        <f>K38</f>
        <v>74618810.134946346</v>
      </c>
      <c r="N38" s="26" t="str">
        <f t="shared" si="21"/>
        <v/>
      </c>
      <c r="O38" s="26">
        <f t="shared" ref="O38:O44" si="23">(D38+D37)/2</f>
        <v>27500000</v>
      </c>
    </row>
    <row r="39" spans="4:15" ht="15" thickBot="1" x14ac:dyDescent="0.4">
      <c r="D39" s="35">
        <f t="shared" si="18"/>
        <v>35000000</v>
      </c>
      <c r="E39" s="35">
        <f t="shared" si="20"/>
        <v>72.583461734020531</v>
      </c>
      <c r="F39" s="24">
        <f t="shared" si="15"/>
        <v>2540421160.6907187</v>
      </c>
      <c r="G39" s="19"/>
      <c r="H39" s="24">
        <f t="shared" si="19"/>
        <v>10000000</v>
      </c>
      <c r="I39" s="19">
        <f t="shared" si="16"/>
        <v>10000000</v>
      </c>
      <c r="J39" s="19">
        <f t="shared" si="12"/>
        <v>2530421160.6907187</v>
      </c>
      <c r="K39" s="19">
        <f t="shared" si="22"/>
        <v>-69530439.132630825</v>
      </c>
      <c r="L39" s="36">
        <f t="shared" si="14"/>
        <v>0.2857142857142857</v>
      </c>
      <c r="M39" s="37"/>
      <c r="N39" s="26" t="str">
        <f t="shared" si="21"/>
        <v/>
      </c>
      <c r="O39" s="26">
        <f t="shared" si="23"/>
        <v>32500000</v>
      </c>
    </row>
    <row r="40" spans="4:15" ht="15" thickBot="1" x14ac:dyDescent="0.4">
      <c r="D40" s="35">
        <f t="shared" si="18"/>
        <v>40000000</v>
      </c>
      <c r="E40" s="35">
        <f t="shared" si="20"/>
        <v>58.168536807262726</v>
      </c>
      <c r="F40" s="24">
        <f t="shared" si="15"/>
        <v>2326741472.2905092</v>
      </c>
      <c r="G40" s="19"/>
      <c r="H40" s="24">
        <f t="shared" si="19"/>
        <v>10000000</v>
      </c>
      <c r="I40" s="19">
        <f t="shared" si="16"/>
        <v>10000000</v>
      </c>
      <c r="J40" s="19">
        <f t="shared" si="12"/>
        <v>2316741472.2905092</v>
      </c>
      <c r="K40" s="19">
        <f t="shared" si="22"/>
        <v>-213679688.40020943</v>
      </c>
      <c r="L40" s="36">
        <f t="shared" si="14"/>
        <v>0.25</v>
      </c>
      <c r="M40" s="37">
        <f t="shared" si="17"/>
        <v>0</v>
      </c>
      <c r="N40" s="26" t="str">
        <f t="shared" si="21"/>
        <v/>
      </c>
      <c r="O40" s="26">
        <f t="shared" si="23"/>
        <v>37500000</v>
      </c>
    </row>
    <row r="41" spans="4:15" ht="15" thickBot="1" x14ac:dyDescent="0.4">
      <c r="D41" s="35">
        <f t="shared" si="18"/>
        <v>45000000</v>
      </c>
      <c r="E41" s="35">
        <f t="shared" si="20"/>
        <v>43.753611880504934</v>
      </c>
      <c r="F41" s="24">
        <f t="shared" si="15"/>
        <v>1968912534.6227221</v>
      </c>
      <c r="G41" s="19"/>
      <c r="H41" s="24">
        <f t="shared" si="19"/>
        <v>10000000</v>
      </c>
      <c r="I41" s="19">
        <f t="shared" si="16"/>
        <v>10000000</v>
      </c>
      <c r="J41" s="19">
        <f t="shared" si="12"/>
        <v>1958912534.6227221</v>
      </c>
      <c r="K41" s="19">
        <f t="shared" si="22"/>
        <v>-357828937.66778708</v>
      </c>
      <c r="L41" s="36">
        <f t="shared" si="14"/>
        <v>0.22222222222222221</v>
      </c>
      <c r="M41" s="37">
        <f t="shared" si="17"/>
        <v>0</v>
      </c>
      <c r="N41" s="26" t="str">
        <f t="shared" si="21"/>
        <v/>
      </c>
      <c r="O41" s="26">
        <f t="shared" si="23"/>
        <v>42500000</v>
      </c>
    </row>
    <row r="42" spans="4:15" ht="15" thickBot="1" x14ac:dyDescent="0.4">
      <c r="D42" s="35">
        <f t="shared" si="18"/>
        <v>50000000</v>
      </c>
      <c r="E42" s="35">
        <f t="shared" si="20"/>
        <v>29.338686953747128</v>
      </c>
      <c r="F42" s="24">
        <f t="shared" si="15"/>
        <v>1466934347.6873565</v>
      </c>
      <c r="G42" s="19"/>
      <c r="H42" s="24">
        <f t="shared" si="19"/>
        <v>10000000</v>
      </c>
      <c r="I42" s="19">
        <f t="shared" si="16"/>
        <v>10000000</v>
      </c>
      <c r="J42" s="19">
        <f t="shared" si="12"/>
        <v>1456934347.6873565</v>
      </c>
      <c r="K42" s="19">
        <f t="shared" si="22"/>
        <v>-501978186.93536568</v>
      </c>
      <c r="L42" s="36">
        <f t="shared" si="14"/>
        <v>0.2</v>
      </c>
      <c r="M42" s="37">
        <f t="shared" si="17"/>
        <v>0</v>
      </c>
      <c r="N42" s="26" t="str">
        <f t="shared" si="21"/>
        <v/>
      </c>
      <c r="O42" s="26">
        <f t="shared" si="23"/>
        <v>47500000</v>
      </c>
    </row>
    <row r="43" spans="4:15" ht="15" thickBot="1" x14ac:dyDescent="0.4">
      <c r="D43" s="35">
        <f t="shared" si="18"/>
        <v>55000000</v>
      </c>
      <c r="E43" s="35">
        <f t="shared" si="20"/>
        <v>14.923762026989323</v>
      </c>
      <c r="F43" s="24">
        <f t="shared" si="15"/>
        <v>820806911.48441279</v>
      </c>
      <c r="G43" s="19"/>
      <c r="H43" s="24">
        <f t="shared" si="19"/>
        <v>10000000</v>
      </c>
      <c r="I43" s="19">
        <f>G43+H43</f>
        <v>10000000</v>
      </c>
      <c r="J43" s="19">
        <f t="shared" si="12"/>
        <v>810806911.48441279</v>
      </c>
      <c r="K43" s="19">
        <f t="shared" si="22"/>
        <v>-646127436.20294368</v>
      </c>
      <c r="L43" s="36">
        <f t="shared" si="14"/>
        <v>0.18181818181818182</v>
      </c>
      <c r="M43" s="37">
        <f t="shared" si="17"/>
        <v>0</v>
      </c>
      <c r="N43" s="26" t="str">
        <f t="shared" si="21"/>
        <v/>
      </c>
      <c r="O43" s="26">
        <f t="shared" si="23"/>
        <v>52500000</v>
      </c>
    </row>
    <row r="44" spans="4:15" ht="15" thickBot="1" x14ac:dyDescent="0.4">
      <c r="D44" s="35">
        <f t="shared" si="18"/>
        <v>60000000</v>
      </c>
      <c r="E44" s="35">
        <f t="shared" si="20"/>
        <v>0.50883710023151707</v>
      </c>
      <c r="F44" s="24">
        <f t="shared" si="15"/>
        <v>30530226.013891023</v>
      </c>
      <c r="G44" s="19"/>
      <c r="H44" s="24">
        <f t="shared" si="19"/>
        <v>10000000</v>
      </c>
      <c r="I44" s="19">
        <f>G44+H44</f>
        <v>10000000</v>
      </c>
      <c r="J44" s="19">
        <f t="shared" si="12"/>
        <v>20530226.013891023</v>
      </c>
      <c r="K44" s="19">
        <f t="shared" si="22"/>
        <v>-790276685.47052181</v>
      </c>
      <c r="L44" s="36">
        <f t="shared" si="14"/>
        <v>0.16666666666666666</v>
      </c>
      <c r="M44" s="37">
        <f t="shared" si="17"/>
        <v>0</v>
      </c>
      <c r="N44" s="26" t="str">
        <f t="shared" si="21"/>
        <v/>
      </c>
      <c r="O44" s="26">
        <f t="shared" si="23"/>
        <v>57500000</v>
      </c>
    </row>
    <row r="45" spans="4:15" ht="15" thickBot="1" x14ac:dyDescent="0.4">
      <c r="D45" s="35"/>
      <c r="E45" s="35"/>
      <c r="F45" s="24"/>
      <c r="G45" s="19"/>
      <c r="H45" s="24"/>
      <c r="I45" s="19"/>
      <c r="J45" s="19"/>
      <c r="K45" s="36"/>
      <c r="L45" s="36"/>
      <c r="M45" s="37"/>
      <c r="N45" s="26"/>
      <c r="O45" s="26"/>
    </row>
    <row r="46" spans="4:15" ht="15" thickBot="1" x14ac:dyDescent="0.4">
      <c r="D46" s="35"/>
      <c r="E46" s="35"/>
      <c r="F46" s="24"/>
      <c r="G46" s="19"/>
      <c r="H46" s="24"/>
      <c r="I46" s="19"/>
      <c r="J46" s="19"/>
      <c r="K46" s="36"/>
      <c r="L46" s="36"/>
      <c r="M46" s="37"/>
      <c r="N46" s="26"/>
      <c r="O46" s="26"/>
    </row>
    <row r="47" spans="4:15" ht="15" thickBot="1" x14ac:dyDescent="0.4">
      <c r="D47" s="35"/>
      <c r="E47" s="35"/>
      <c r="F47" s="24"/>
      <c r="G47" s="19"/>
      <c r="H47" s="24"/>
      <c r="I47" s="19"/>
      <c r="J47" s="19"/>
      <c r="K47" s="36"/>
      <c r="L47" s="36"/>
      <c r="M47" s="37"/>
      <c r="N47" s="26"/>
      <c r="O47" s="26"/>
    </row>
    <row r="48" spans="4:15" ht="15" thickBot="1" x14ac:dyDescent="0.4">
      <c r="D48" s="35"/>
      <c r="E48" s="35"/>
      <c r="F48" s="24"/>
      <c r="G48" s="19"/>
      <c r="H48" s="24"/>
      <c r="I48" s="19"/>
      <c r="J48" s="19"/>
      <c r="K48" s="36"/>
      <c r="L48" s="36"/>
      <c r="M48" s="37"/>
      <c r="N48" s="26"/>
      <c r="O48" s="26"/>
    </row>
    <row r="49" spans="4:15" ht="15" thickBot="1" x14ac:dyDescent="0.4">
      <c r="D49" s="35"/>
      <c r="E49" s="35"/>
      <c r="F49" s="24"/>
      <c r="G49" s="19"/>
      <c r="H49" s="24"/>
      <c r="I49" s="19"/>
      <c r="J49" s="19"/>
      <c r="K49" s="36"/>
      <c r="L49" s="36"/>
      <c r="M49" s="37"/>
      <c r="N49" s="26"/>
      <c r="O49" s="26"/>
    </row>
    <row r="50" spans="4:15" ht="15" thickBot="1" x14ac:dyDescent="0.4">
      <c r="D50" s="35"/>
      <c r="E50" s="35"/>
      <c r="F50" s="24"/>
      <c r="G50" s="19"/>
      <c r="H50" s="24"/>
      <c r="I50" s="19"/>
      <c r="J50" s="19"/>
      <c r="K50" s="36"/>
      <c r="L50" s="36"/>
      <c r="M50" s="37"/>
      <c r="N50" s="26"/>
      <c r="O50" s="26"/>
    </row>
    <row r="51" spans="4:15" ht="15" thickBot="1" x14ac:dyDescent="0.4">
      <c r="D51" s="35"/>
      <c r="E51" s="35"/>
      <c r="F51" s="24"/>
      <c r="G51" s="19"/>
      <c r="H51" s="24"/>
      <c r="I51" s="19"/>
      <c r="J51" s="19"/>
      <c r="K51" s="36"/>
      <c r="L51" s="36"/>
      <c r="M51" s="37"/>
      <c r="N51" s="26"/>
      <c r="O51" s="26"/>
    </row>
    <row r="56" spans="4:15" x14ac:dyDescent="0.35">
      <c r="L56" s="9" t="s">
        <v>101</v>
      </c>
    </row>
  </sheetData>
  <conditionalFormatting sqref="D18:O28">
    <cfRule type="expression" dxfId="9" priority="1">
      <formula>$N18&lt;&gt;""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8B87-FCCC-4556-8700-B69B791A57D5}">
  <dimension ref="A2:AN106"/>
  <sheetViews>
    <sheetView topLeftCell="A22" workbookViewId="0">
      <selection activeCell="BH24" sqref="BH24"/>
    </sheetView>
  </sheetViews>
  <sheetFormatPr defaultColWidth="2.26953125" defaultRowHeight="14.5" x14ac:dyDescent="0.35"/>
  <cols>
    <col min="1" max="1" width="2.26953125" style="9"/>
    <col min="2" max="2" width="12.453125" style="9" bestFit="1" customWidth="1"/>
    <col min="3" max="3" width="17.54296875" style="9" bestFit="1" customWidth="1"/>
    <col min="4" max="4" width="11.54296875" style="9" bestFit="1" customWidth="1"/>
    <col min="5" max="5" width="9" style="9" bestFit="1" customWidth="1"/>
    <col min="6" max="6" width="19.7265625" style="9" bestFit="1" customWidth="1"/>
    <col min="7" max="7" width="16.26953125" style="9" bestFit="1" customWidth="1"/>
    <col min="8" max="8" width="13.7265625" style="9" bestFit="1" customWidth="1"/>
    <col min="9" max="9" width="16.26953125" style="9" bestFit="1" customWidth="1"/>
    <col min="10" max="10" width="15.26953125" style="9" bestFit="1" customWidth="1"/>
    <col min="11" max="11" width="21.7265625" style="9" bestFit="1" customWidth="1"/>
    <col min="12" max="12" width="22.453125" style="9" bestFit="1" customWidth="1"/>
    <col min="13" max="13" width="17.54296875" style="9" bestFit="1" customWidth="1"/>
    <col min="14" max="14" width="11.1796875" style="9" bestFit="1" customWidth="1"/>
    <col min="15" max="16" width="15" style="9" bestFit="1" customWidth="1"/>
    <col min="17" max="17" width="19.7265625" style="9" customWidth="1"/>
    <col min="18" max="18" width="10" style="9" bestFit="1" customWidth="1"/>
    <col min="19" max="19" width="3.54296875" style="9" bestFit="1" customWidth="1"/>
    <col min="20" max="20" width="15.7265625" style="9" bestFit="1" customWidth="1"/>
    <col min="21" max="16384" width="2.26953125" style="9"/>
  </cols>
  <sheetData>
    <row r="2" spans="2:14" x14ac:dyDescent="0.35">
      <c r="F2" s="10" t="s">
        <v>20</v>
      </c>
      <c r="G2" s="10"/>
      <c r="H2" s="10"/>
    </row>
    <row r="3" spans="2:14" x14ac:dyDescent="0.35">
      <c r="F3" s="11" t="s">
        <v>8</v>
      </c>
      <c r="G3" s="11"/>
      <c r="H3" s="11"/>
    </row>
    <row r="4" spans="2:14" x14ac:dyDescent="0.35">
      <c r="C4" s="3" t="s">
        <v>11</v>
      </c>
      <c r="F4" s="12" t="s">
        <v>1</v>
      </c>
      <c r="G4" s="12"/>
      <c r="H4" s="12"/>
    </row>
    <row r="5" spans="2:14" ht="15" thickBot="1" x14ac:dyDescent="0.4">
      <c r="C5" s="5" t="s">
        <v>9</v>
      </c>
      <c r="F5" s="13" t="s">
        <v>10</v>
      </c>
      <c r="G5" s="13"/>
      <c r="H5" s="13"/>
    </row>
    <row r="6" spans="2:14" ht="15" thickBot="1" x14ac:dyDescent="0.4">
      <c r="B6" s="2" t="s">
        <v>6</v>
      </c>
      <c r="C6" s="6">
        <v>0.5</v>
      </c>
      <c r="F6" s="14" t="s">
        <v>21</v>
      </c>
      <c r="G6" s="14"/>
      <c r="H6" s="14"/>
    </row>
    <row r="7" spans="2:14" ht="15" thickBot="1" x14ac:dyDescent="0.4">
      <c r="B7" s="2" t="s">
        <v>7</v>
      </c>
      <c r="C7" s="6">
        <v>1</v>
      </c>
    </row>
    <row r="9" spans="2:14" x14ac:dyDescent="0.35">
      <c r="C9" s="3" t="s">
        <v>26</v>
      </c>
      <c r="D9" s="9" t="s">
        <v>38</v>
      </c>
      <c r="E9" s="9" t="s">
        <v>40</v>
      </c>
      <c r="F9" s="9" t="s">
        <v>38</v>
      </c>
      <c r="G9" s="9" t="s">
        <v>43</v>
      </c>
      <c r="H9" s="9" t="s">
        <v>70</v>
      </c>
      <c r="J9" s="9">
        <v>1</v>
      </c>
    </row>
    <row r="10" spans="2:14" ht="15" thickBot="1" x14ac:dyDescent="0.4">
      <c r="C10" s="5" t="s">
        <v>41</v>
      </c>
      <c r="D10" s="9" t="s">
        <v>39</v>
      </c>
      <c r="E10" s="9" t="s">
        <v>9</v>
      </c>
      <c r="F10" s="9" t="s">
        <v>41</v>
      </c>
      <c r="G10" s="9" t="s">
        <v>44</v>
      </c>
      <c r="H10" s="5" t="s">
        <v>41</v>
      </c>
    </row>
    <row r="11" spans="2:14" ht="15" thickBot="1" x14ac:dyDescent="0.4">
      <c r="B11" s="2" t="s">
        <v>36</v>
      </c>
      <c r="C11" s="7">
        <v>270</v>
      </c>
      <c r="D11" s="9">
        <v>86</v>
      </c>
      <c r="E11" s="38">
        <f>D11/$D$13</f>
        <v>0.89583333333333337</v>
      </c>
      <c r="F11" s="9">
        <v>2.5</v>
      </c>
      <c r="G11" s="4">
        <f>D11/F11*1000000</f>
        <v>34400000</v>
      </c>
      <c r="H11" s="7">
        <v>270</v>
      </c>
      <c r="I11" s="69">
        <v>1.0000000000000001E-9</v>
      </c>
      <c r="J11" s="9" t="s">
        <v>46</v>
      </c>
    </row>
    <row r="12" spans="2:14" ht="15" thickBot="1" x14ac:dyDescent="0.4">
      <c r="B12" s="2" t="s">
        <v>37</v>
      </c>
      <c r="C12" s="7">
        <f>C11-150</f>
        <v>120</v>
      </c>
      <c r="D12" s="9">
        <v>10</v>
      </c>
      <c r="E12" s="38">
        <f>D12/$D$13</f>
        <v>0.10416666666666667</v>
      </c>
      <c r="F12" s="9">
        <v>2.5</v>
      </c>
      <c r="G12" s="4">
        <f>D12/F12*1000000</f>
        <v>4000000</v>
      </c>
      <c r="H12" s="7"/>
    </row>
    <row r="13" spans="2:14" ht="15" thickBot="1" x14ac:dyDescent="0.4">
      <c r="B13" s="2" t="s">
        <v>5</v>
      </c>
      <c r="C13" s="7"/>
      <c r="D13" s="9">
        <f>SUM(D11:D12)</f>
        <v>96</v>
      </c>
      <c r="E13" s="38">
        <f>D13/$D$13</f>
        <v>1</v>
      </c>
      <c r="F13" s="9">
        <v>2.5</v>
      </c>
      <c r="G13" s="4">
        <f>D13/F13*1000000</f>
        <v>38400000</v>
      </c>
      <c r="H13" s="7"/>
    </row>
    <row r="14" spans="2:14" x14ac:dyDescent="0.35">
      <c r="B14" s="2" t="s">
        <v>45</v>
      </c>
      <c r="C14" s="39">
        <v>107.99</v>
      </c>
      <c r="E14" s="38"/>
      <c r="F14" s="9">
        <v>0.26417200000000002</v>
      </c>
      <c r="G14" s="4"/>
      <c r="H14" s="39"/>
      <c r="I14" s="9">
        <f>D11*F14</f>
        <v>22.718792000000001</v>
      </c>
      <c r="K14" s="39"/>
    </row>
    <row r="15" spans="2:14" ht="15" thickBot="1" x14ac:dyDescent="0.4">
      <c r="F15" s="9" t="s">
        <v>47</v>
      </c>
    </row>
    <row r="16" spans="2:14" s="16" customFormat="1" ht="15" thickBot="1" x14ac:dyDescent="0.4">
      <c r="F16" s="17" t="s">
        <v>3</v>
      </c>
      <c r="G16" s="67"/>
      <c r="H16" s="17" t="s">
        <v>24</v>
      </c>
      <c r="I16" s="17" t="s">
        <v>25</v>
      </c>
      <c r="J16" s="17" t="s">
        <v>0</v>
      </c>
      <c r="K16" s="3"/>
      <c r="L16" s="3"/>
      <c r="M16" s="9"/>
      <c r="N16" s="9"/>
    </row>
    <row r="17" spans="1:15" s="16" customFormat="1" ht="15" thickBot="1" x14ac:dyDescent="0.4">
      <c r="D17" s="17" t="s">
        <v>12</v>
      </c>
      <c r="E17" s="17"/>
      <c r="F17" s="31" t="s">
        <v>13</v>
      </c>
      <c r="G17" s="31" t="s">
        <v>23</v>
      </c>
      <c r="H17" s="31" t="s">
        <v>5</v>
      </c>
      <c r="I17" s="31" t="s">
        <v>5</v>
      </c>
      <c r="J17" s="31" t="s">
        <v>5</v>
      </c>
      <c r="K17" s="5"/>
      <c r="L17" s="5"/>
      <c r="M17" s="9"/>
      <c r="N17" s="9"/>
    </row>
    <row r="18" spans="1:15" s="8" customFormat="1" ht="24" thickBot="1" x14ac:dyDescent="0.4">
      <c r="A18" s="9"/>
      <c r="C18" s="17" t="s">
        <v>4</v>
      </c>
      <c r="D18" s="18">
        <f t="shared" ref="D18:G18" si="0">SUM(D19:D21)</f>
        <v>30</v>
      </c>
      <c r="E18" s="18"/>
      <c r="F18" s="19" t="e">
        <f>SUM(F19:F21)</f>
        <v>#NAME?</v>
      </c>
      <c r="G18" s="20" t="e">
        <f t="shared" si="0"/>
        <v>#NAME?</v>
      </c>
      <c r="H18" s="19" t="e">
        <f>costs_fixed</f>
        <v>#NAME?</v>
      </c>
      <c r="I18" s="19" t="e">
        <f>#REF!+H18</f>
        <v>#REF!</v>
      </c>
      <c r="J18" s="29" t="e">
        <f>rev_total-costs_total</f>
        <v>#NAME?</v>
      </c>
      <c r="K18" s="32"/>
      <c r="L18" s="32"/>
      <c r="M18" s="9"/>
      <c r="N18" s="9"/>
    </row>
    <row r="19" spans="1:15" ht="24" thickBot="1" x14ac:dyDescent="0.4">
      <c r="B19" s="8"/>
      <c r="C19" s="17" t="s">
        <v>29</v>
      </c>
      <c r="D19" s="30">
        <v>10</v>
      </c>
      <c r="E19" s="30"/>
      <c r="F19" s="21" t="e">
        <f>q_tomato*rev_tomatoes</f>
        <v>#NAME?</v>
      </c>
      <c r="G19" s="22" t="e" cm="1">
        <f t="array" ref="G19">MIN(labor_temp_max,MAX(0,(labor_tomatoes-#REF!*labor_hrs_season)/labor_hrs_season))</f>
        <v>#NAME?</v>
      </c>
      <c r="H19" s="24"/>
      <c r="I19" s="19" t="e">
        <f>#REF!+H19</f>
        <v>#REF!</v>
      </c>
      <c r="J19" s="21" t="e">
        <f>F19-I19</f>
        <v>#NAME?</v>
      </c>
      <c r="K19" s="33"/>
      <c r="L19" s="33"/>
      <c r="O19" s="23"/>
    </row>
    <row r="20" spans="1:15" ht="24" thickBot="1" x14ac:dyDescent="0.4">
      <c r="C20" s="17" t="s">
        <v>30</v>
      </c>
      <c r="D20" s="30">
        <v>20</v>
      </c>
      <c r="E20" s="30"/>
      <c r="F20" s="21" t="e">
        <f>q_carrot*rev_carrots</f>
        <v>#NAME?</v>
      </c>
      <c r="G20" s="22" t="e">
        <f>MIN(labor_temp_max,MAX(0,(labor_carrots-#REF!*labor_hrs_season)/labor_hrs_season))</f>
        <v>#NAME?</v>
      </c>
      <c r="H20" s="24"/>
      <c r="I20" s="19" t="e">
        <f>#REF!+H20</f>
        <v>#REF!</v>
      </c>
      <c r="J20" s="21" t="e">
        <f>F20-I20</f>
        <v>#NAME?</v>
      </c>
      <c r="K20" s="33"/>
      <c r="L20" s="33"/>
      <c r="O20" s="23"/>
    </row>
    <row r="21" spans="1:15" ht="24" thickBot="1" x14ac:dyDescent="0.4">
      <c r="C21" s="17"/>
      <c r="D21" s="30"/>
      <c r="E21" s="30"/>
      <c r="F21" s="21"/>
      <c r="G21" s="22"/>
      <c r="H21" s="24"/>
      <c r="I21" s="19"/>
      <c r="J21" s="21"/>
      <c r="K21" s="33"/>
      <c r="L21" s="33"/>
      <c r="O21" s="23"/>
    </row>
    <row r="22" spans="1:15" x14ac:dyDescent="0.35">
      <c r="O22" s="23"/>
    </row>
    <row r="23" spans="1:15" ht="15" thickBot="1" x14ac:dyDescent="0.4">
      <c r="C23" s="1" t="s">
        <v>2</v>
      </c>
      <c r="D23" s="9" t="s">
        <v>42</v>
      </c>
      <c r="G23" s="23"/>
    </row>
    <row r="24" spans="1:15" s="16" customFormat="1" ht="15" thickBot="1" x14ac:dyDescent="0.4">
      <c r="C24" s="17" t="s">
        <v>29</v>
      </c>
      <c r="D24" s="17" t="s">
        <v>34</v>
      </c>
      <c r="E24" s="17" t="s">
        <v>32</v>
      </c>
      <c r="F24" s="17" t="s">
        <v>3</v>
      </c>
      <c r="G24" s="17" t="s">
        <v>80</v>
      </c>
      <c r="H24" s="17" t="s">
        <v>81</v>
      </c>
      <c r="I24" s="17" t="s">
        <v>79</v>
      </c>
      <c r="J24" s="17" t="s">
        <v>0</v>
      </c>
      <c r="K24" s="17" t="s">
        <v>77</v>
      </c>
      <c r="L24" s="17" t="s">
        <v>76</v>
      </c>
      <c r="M24" s="17" t="s">
        <v>78</v>
      </c>
      <c r="N24" s="68" t="s">
        <v>22</v>
      </c>
      <c r="O24" s="17" t="s">
        <v>28</v>
      </c>
    </row>
    <row r="25" spans="1:15" ht="15" thickBot="1" x14ac:dyDescent="0.4">
      <c r="D25" s="34">
        <v>0</v>
      </c>
      <c r="E25" s="70">
        <v>500</v>
      </c>
      <c r="F25" s="24">
        <f t="shared" ref="F25:F35" si="1">D25*$C$11</f>
        <v>0</v>
      </c>
      <c r="G25" s="19">
        <f t="shared" ref="G25:G35" si="2">D25*M25</f>
        <v>0</v>
      </c>
      <c r="H25" s="24">
        <v>130000000</v>
      </c>
      <c r="I25" s="19">
        <f>G25+H25</f>
        <v>130000000</v>
      </c>
      <c r="J25" s="19">
        <f t="shared" ref="J25:J35" si="3">F25-I25</f>
        <v>-130000000</v>
      </c>
      <c r="K25" s="36" t="e">
        <f t="shared" ref="K25:K35" si="4">I25/D25</f>
        <v>#DIV/0!</v>
      </c>
      <c r="L25" s="36" t="str">
        <f t="shared" ref="L25:L35" si="5">IFERROR(I25/D25,"")</f>
        <v/>
      </c>
      <c r="M25" s="37">
        <f>$H$11</f>
        <v>270</v>
      </c>
      <c r="N25" s="26" t="str">
        <f>IF(AND($C$11&gt;M24,$C$11&lt;M25),"&lt;-- P ~ MC","")</f>
        <v/>
      </c>
      <c r="O25" s="26"/>
    </row>
    <row r="26" spans="1:15" ht="15" thickBot="1" x14ac:dyDescent="0.4">
      <c r="C26" s="9" t="e">
        <f>SLOPE({500,270},{35000000})</f>
        <v>#N/A</v>
      </c>
      <c r="D26" s="35">
        <f>D25+5000000</f>
        <v>5000000</v>
      </c>
      <c r="E26" s="35" t="e" cm="1">
        <f t="array" ref="E26">GROWTH({500,270},{0.35},D26)</f>
        <v>#REF!</v>
      </c>
      <c r="F26" s="24">
        <f t="shared" si="1"/>
        <v>1350000000</v>
      </c>
      <c r="G26" s="19">
        <f t="shared" si="2"/>
        <v>1356766903.6651967</v>
      </c>
      <c r="H26" s="24">
        <v>130000000</v>
      </c>
      <c r="I26" s="19">
        <f t="shared" ref="I26:I29" si="6">G26+H26</f>
        <v>1486766903.6651967</v>
      </c>
      <c r="J26" s="19">
        <f t="shared" si="3"/>
        <v>-136766903.66519666</v>
      </c>
      <c r="K26" s="36">
        <f t="shared" si="4"/>
        <v>297.35338073303933</v>
      </c>
      <c r="L26" s="36">
        <f t="shared" si="5"/>
        <v>297.35338073303933</v>
      </c>
      <c r="M26" s="37">
        <f>$H$11*(1+$I$11)^$D26</f>
        <v>271.35338073303933</v>
      </c>
      <c r="N26" s="26" t="str">
        <f t="shared" ref="N26:N35" si="7">IF(AND($C$11&gt;M25,$C$11&lt;M26),"&lt;-- P ~ MC","")</f>
        <v/>
      </c>
      <c r="O26" s="26">
        <f t="shared" ref="O26:O35" si="8">(D26+D25)/2</f>
        <v>2500000</v>
      </c>
    </row>
    <row r="27" spans="1:15" ht="15" thickBot="1" x14ac:dyDescent="0.4">
      <c r="D27" s="35">
        <f t="shared" ref="D27:D35" si="9">D26+5000000</f>
        <v>10000000</v>
      </c>
      <c r="E27" s="35" t="e" cm="1">
        <f t="array" ref="E27">GROWTH({500,270},{0.35},D27)</f>
        <v>#REF!</v>
      </c>
      <c r="F27" s="24">
        <f t="shared" si="1"/>
        <v>2700000000</v>
      </c>
      <c r="G27" s="19">
        <f t="shared" si="2"/>
        <v>2727135453.1573977</v>
      </c>
      <c r="H27" s="24">
        <v>130000000</v>
      </c>
      <c r="I27" s="19">
        <f t="shared" si="6"/>
        <v>2857135453.1573977</v>
      </c>
      <c r="J27" s="19">
        <f t="shared" si="3"/>
        <v>-157135453.15739775</v>
      </c>
      <c r="K27" s="36">
        <f t="shared" si="4"/>
        <v>285.71354531573979</v>
      </c>
      <c r="L27" s="36">
        <f t="shared" si="5"/>
        <v>285.71354531573979</v>
      </c>
      <c r="M27" s="37">
        <f t="shared" ref="M27:M35" si="10">$H$11*(1+$I$11)^$D27</f>
        <v>272.71354531573979</v>
      </c>
      <c r="N27" s="26" t="str">
        <f t="shared" si="7"/>
        <v/>
      </c>
      <c r="O27" s="26">
        <f t="shared" si="8"/>
        <v>7500000</v>
      </c>
    </row>
    <row r="28" spans="1:15" ht="15" thickBot="1" x14ac:dyDescent="0.4">
      <c r="D28" s="35">
        <f t="shared" si="9"/>
        <v>15000000</v>
      </c>
      <c r="E28" s="35" t="e" cm="1">
        <f t="array" ref="E28">GROWTH({500,270},{0.35},D28)</f>
        <v>#REF!</v>
      </c>
      <c r="F28" s="24">
        <f t="shared" si="1"/>
        <v>4050000000</v>
      </c>
      <c r="G28" s="19">
        <f t="shared" si="2"/>
        <v>4111207916.2843862</v>
      </c>
      <c r="H28" s="24">
        <v>130000000</v>
      </c>
      <c r="I28" s="19">
        <f t="shared" si="6"/>
        <v>4241207916.2843862</v>
      </c>
      <c r="J28" s="19">
        <f t="shared" si="3"/>
        <v>-191207916.28438616</v>
      </c>
      <c r="K28" s="36">
        <f t="shared" si="4"/>
        <v>282.74719441895905</v>
      </c>
      <c r="L28" s="36">
        <f t="shared" si="5"/>
        <v>282.74719441895905</v>
      </c>
      <c r="M28" s="37">
        <f t="shared" si="10"/>
        <v>274.08052775229243</v>
      </c>
      <c r="N28" s="26" t="str">
        <f t="shared" si="7"/>
        <v/>
      </c>
      <c r="O28" s="26">
        <f t="shared" si="8"/>
        <v>12500000</v>
      </c>
    </row>
    <row r="29" spans="1:15" ht="15" thickBot="1" x14ac:dyDescent="0.4">
      <c r="D29" s="35">
        <f t="shared" si="9"/>
        <v>20000000</v>
      </c>
      <c r="E29" s="35" t="e" cm="1">
        <f t="array" ref="E29">GROWTH({500,270},{0.35},D29)</f>
        <v>#REF!</v>
      </c>
      <c r="F29" s="24">
        <f t="shared" si="1"/>
        <v>5400000000</v>
      </c>
      <c r="G29" s="19">
        <f t="shared" si="2"/>
        <v>5509087244.3466768</v>
      </c>
      <c r="H29" s="24">
        <v>130000000</v>
      </c>
      <c r="I29" s="19">
        <f t="shared" si="6"/>
        <v>5639087244.3466768</v>
      </c>
      <c r="J29" s="19">
        <f t="shared" si="3"/>
        <v>-239087244.34667683</v>
      </c>
      <c r="K29" s="36">
        <f t="shared" si="4"/>
        <v>281.95436221733382</v>
      </c>
      <c r="L29" s="36">
        <f t="shared" si="5"/>
        <v>281.95436221733382</v>
      </c>
      <c r="M29" s="37">
        <f t="shared" si="10"/>
        <v>275.45436221733382</v>
      </c>
      <c r="N29" s="26" t="str">
        <f t="shared" si="7"/>
        <v/>
      </c>
      <c r="O29" s="26">
        <f t="shared" si="8"/>
        <v>17500000</v>
      </c>
    </row>
    <row r="30" spans="1:15" ht="15" thickBot="1" x14ac:dyDescent="0.4">
      <c r="D30" s="35">
        <f t="shared" si="9"/>
        <v>25000000</v>
      </c>
      <c r="E30" s="35" t="e" cm="1">
        <f t="array" ref="E30">GROWTH({500,270},{0.35},D30)</f>
        <v>#REF!</v>
      </c>
      <c r="F30" s="24">
        <f t="shared" si="1"/>
        <v>6750000000</v>
      </c>
      <c r="G30" s="19">
        <f t="shared" si="2"/>
        <v>6920877076.4200649</v>
      </c>
      <c r="H30" s="24">
        <v>130000000</v>
      </c>
      <c r="I30" s="19">
        <f>G30+H30</f>
        <v>7050877076.4200649</v>
      </c>
      <c r="J30" s="19">
        <f t="shared" si="3"/>
        <v>-300877076.42006493</v>
      </c>
      <c r="K30" s="36">
        <f t="shared" si="4"/>
        <v>282.03508305680259</v>
      </c>
      <c r="L30" s="36">
        <f t="shared" si="5"/>
        <v>282.03508305680259</v>
      </c>
      <c r="M30" s="37">
        <f t="shared" si="10"/>
        <v>276.8350830568026</v>
      </c>
      <c r="N30" s="26" t="str">
        <f t="shared" si="7"/>
        <v/>
      </c>
      <c r="O30" s="26">
        <f t="shared" si="8"/>
        <v>22500000</v>
      </c>
    </row>
    <row r="31" spans="1:15" ht="15" thickBot="1" x14ac:dyDescent="0.4">
      <c r="D31" s="35">
        <f t="shared" si="9"/>
        <v>30000000</v>
      </c>
      <c r="E31" s="35" t="e" cm="1">
        <f t="array" ref="E31">GROWTH({500,270},{0.35},D31)</f>
        <v>#REF!</v>
      </c>
      <c r="F31" s="24">
        <f t="shared" si="1"/>
        <v>8100000000</v>
      </c>
      <c r="G31" s="19">
        <f t="shared" si="2"/>
        <v>8346681743.6639013</v>
      </c>
      <c r="H31" s="24">
        <v>130000000</v>
      </c>
      <c r="I31" s="19">
        <f>G31+H31</f>
        <v>8476681743.6639013</v>
      </c>
      <c r="J31" s="19">
        <f t="shared" si="3"/>
        <v>-376681743.66390133</v>
      </c>
      <c r="K31" s="36">
        <f t="shared" si="4"/>
        <v>282.55605812213003</v>
      </c>
      <c r="L31" s="36">
        <f t="shared" si="5"/>
        <v>282.55605812213003</v>
      </c>
      <c r="M31" s="37">
        <f t="shared" si="10"/>
        <v>278.22272478879671</v>
      </c>
      <c r="N31" s="26" t="str">
        <f t="shared" si="7"/>
        <v/>
      </c>
      <c r="O31" s="26">
        <f t="shared" si="8"/>
        <v>27500000</v>
      </c>
    </row>
    <row r="32" spans="1:15" ht="15" thickBot="1" x14ac:dyDescent="0.4">
      <c r="D32" s="35">
        <f t="shared" si="9"/>
        <v>35000000</v>
      </c>
      <c r="E32" s="35">
        <v>270</v>
      </c>
      <c r="F32" s="24">
        <f t="shared" si="1"/>
        <v>9450000000</v>
      </c>
      <c r="G32" s="19">
        <f t="shared" si="2"/>
        <v>9786606273.6552925</v>
      </c>
      <c r="H32" s="24">
        <v>130000000</v>
      </c>
      <c r="I32" s="19">
        <f t="shared" ref="I32:I35" si="11">G32+H32</f>
        <v>9916606273.6552925</v>
      </c>
      <c r="J32" s="19">
        <f t="shared" si="3"/>
        <v>-466606273.65529251</v>
      </c>
      <c r="K32" s="36">
        <f t="shared" si="4"/>
        <v>283.33160781872266</v>
      </c>
      <c r="L32" s="36">
        <f t="shared" si="5"/>
        <v>283.33160781872266</v>
      </c>
      <c r="M32" s="37">
        <f t="shared" si="10"/>
        <v>279.61732210443694</v>
      </c>
      <c r="N32" s="26" t="str">
        <f t="shared" si="7"/>
        <v/>
      </c>
      <c r="O32" s="26">
        <f t="shared" si="8"/>
        <v>32500000</v>
      </c>
    </row>
    <row r="33" spans="3:40" ht="15" thickBot="1" x14ac:dyDescent="0.4">
      <c r="D33" s="35">
        <f t="shared" si="9"/>
        <v>40000000</v>
      </c>
      <c r="E33" s="35"/>
      <c r="F33" s="24">
        <f t="shared" si="1"/>
        <v>10800000000</v>
      </c>
      <c r="G33" s="19">
        <f t="shared" si="2"/>
        <v>11240756394.749353</v>
      </c>
      <c r="H33" s="24">
        <v>130000000</v>
      </c>
      <c r="I33" s="19">
        <f t="shared" si="11"/>
        <v>11370756394.749353</v>
      </c>
      <c r="J33" s="19">
        <f t="shared" si="3"/>
        <v>-570756394.74935341</v>
      </c>
      <c r="K33" s="36">
        <f t="shared" si="4"/>
        <v>284.26890986873383</v>
      </c>
      <c r="L33" s="36">
        <f t="shared" si="5"/>
        <v>284.26890986873383</v>
      </c>
      <c r="M33" s="37">
        <f t="shared" si="10"/>
        <v>281.01890986873383</v>
      </c>
      <c r="N33" s="26" t="str">
        <f t="shared" si="7"/>
        <v/>
      </c>
      <c r="O33" s="26">
        <f t="shared" si="8"/>
        <v>37500000</v>
      </c>
    </row>
    <row r="34" spans="3:40" ht="15" thickBot="1" x14ac:dyDescent="0.4">
      <c r="D34" s="35">
        <f t="shared" si="9"/>
        <v>45000000</v>
      </c>
      <c r="E34" s="35"/>
      <c r="F34" s="24">
        <f t="shared" si="1"/>
        <v>12150000000</v>
      </c>
      <c r="G34" s="19">
        <f t="shared" si="2"/>
        <v>12709238540.4657</v>
      </c>
      <c r="H34" s="24">
        <v>130000000</v>
      </c>
      <c r="I34" s="19">
        <f t="shared" si="11"/>
        <v>12839238540.4657</v>
      </c>
      <c r="J34" s="19">
        <f t="shared" si="3"/>
        <v>-689238540.46570015</v>
      </c>
      <c r="K34" s="36">
        <f t="shared" si="4"/>
        <v>285.31641201034887</v>
      </c>
      <c r="L34" s="36">
        <f t="shared" si="5"/>
        <v>285.31641201034887</v>
      </c>
      <c r="M34" s="37">
        <f t="shared" si="10"/>
        <v>282.42752312146001</v>
      </c>
      <c r="N34" s="26" t="str">
        <f t="shared" si="7"/>
        <v/>
      </c>
      <c r="O34" s="26">
        <f t="shared" si="8"/>
        <v>42500000</v>
      </c>
    </row>
    <row r="35" spans="3:40" ht="15" thickBot="1" x14ac:dyDescent="0.4">
      <c r="D35" s="35">
        <f t="shared" si="9"/>
        <v>50000000</v>
      </c>
      <c r="E35" s="35"/>
      <c r="F35" s="24">
        <f t="shared" si="1"/>
        <v>13500000000</v>
      </c>
      <c r="G35" s="19">
        <f t="shared" si="2"/>
        <v>14192159853.901251</v>
      </c>
      <c r="H35" s="24">
        <v>130000000</v>
      </c>
      <c r="I35" s="19">
        <f t="shared" si="11"/>
        <v>14322159853.901251</v>
      </c>
      <c r="J35" s="19">
        <f t="shared" si="3"/>
        <v>-822159853.90125084</v>
      </c>
      <c r="K35" s="36">
        <f t="shared" si="4"/>
        <v>286.44319707802504</v>
      </c>
      <c r="L35" s="36">
        <f t="shared" si="5"/>
        <v>286.44319707802504</v>
      </c>
      <c r="M35" s="37">
        <f t="shared" si="10"/>
        <v>283.84319707802501</v>
      </c>
      <c r="N35" s="26" t="str">
        <f t="shared" si="7"/>
        <v/>
      </c>
      <c r="O35" s="26">
        <f t="shared" si="8"/>
        <v>47500000</v>
      </c>
    </row>
    <row r="36" spans="3:40" ht="15" thickBot="1" x14ac:dyDescent="0.4">
      <c r="G36" s="8"/>
      <c r="I36" s="27"/>
    </row>
    <row r="37" spans="3:40" ht="15" thickBot="1" x14ac:dyDescent="0.4">
      <c r="C37" s="17" t="s">
        <v>30</v>
      </c>
      <c r="D37" s="17" t="s">
        <v>18</v>
      </c>
      <c r="E37" s="17"/>
      <c r="F37" s="17" t="s">
        <v>19</v>
      </c>
      <c r="G37" s="17" t="s">
        <v>14</v>
      </c>
      <c r="H37" s="17" t="s">
        <v>15</v>
      </c>
      <c r="I37" s="28" t="s">
        <v>16</v>
      </c>
      <c r="J37" s="17" t="s">
        <v>17</v>
      </c>
      <c r="K37" s="17" t="s">
        <v>35</v>
      </c>
      <c r="L37" s="17" t="s">
        <v>49</v>
      </c>
      <c r="M37" s="17" t="s">
        <v>27</v>
      </c>
      <c r="N37" s="17" t="s">
        <v>48</v>
      </c>
      <c r="O37" s="17" t="s">
        <v>28</v>
      </c>
    </row>
    <row r="38" spans="3:40" ht="15" thickBot="1" x14ac:dyDescent="0.4">
      <c r="D38" s="34">
        <v>0</v>
      </c>
      <c r="E38" s="35">
        <f>$C$14-(-2.88298498535156E-06*I14*1000000)</f>
        <v>173.48793622132513</v>
      </c>
      <c r="F38" s="24">
        <f>D38*E38</f>
        <v>0</v>
      </c>
      <c r="G38" s="19"/>
      <c r="H38" s="24">
        <v>10000000</v>
      </c>
      <c r="I38" s="19">
        <f>G38+H38</f>
        <v>10000000</v>
      </c>
      <c r="J38" s="19">
        <f t="shared" ref="J38:J51" si="12">F38-I38</f>
        <v>-10000000</v>
      </c>
      <c r="K38" s="36" t="str">
        <f t="shared" ref="K38:K43" si="13">IFERROR(F38-F37,"")</f>
        <v/>
      </c>
      <c r="L38" s="36" t="e">
        <f t="shared" ref="L38:L51" si="14">I38/D38</f>
        <v>#DIV/0!</v>
      </c>
      <c r="M38" s="37" t="e">
        <f>I38-I37</f>
        <v>#VALUE!</v>
      </c>
      <c r="N38" s="26" t="e">
        <f>IF(AND(K38&gt;M38,K39&lt;M39),"&lt;-- P ~ MC","")</f>
        <v>#VALUE!</v>
      </c>
      <c r="O38" s="2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3:40" ht="15" thickBot="1" x14ac:dyDescent="0.4">
      <c r="D39" s="35">
        <f>D38+5000000</f>
        <v>5000000</v>
      </c>
      <c r="E39" s="35">
        <f>$E$38+-2.88298498535156E-06*D39</f>
        <v>159.07301129456732</v>
      </c>
      <c r="F39" s="24">
        <f t="shared" ref="F39:F51" si="15">D39*E39</f>
        <v>795365056.47283661</v>
      </c>
      <c r="G39" s="19"/>
      <c r="H39" s="24">
        <f>H38</f>
        <v>10000000</v>
      </c>
      <c r="I39" s="19">
        <f t="shared" ref="I39:I49" si="16">G39+H39</f>
        <v>10000000</v>
      </c>
      <c r="J39" s="19">
        <f t="shared" si="12"/>
        <v>785365056.47283661</v>
      </c>
      <c r="K39" s="19">
        <f t="shared" si="13"/>
        <v>795365056.47283661</v>
      </c>
      <c r="L39" s="36">
        <f t="shared" si="14"/>
        <v>2</v>
      </c>
      <c r="M39" s="37">
        <f t="shared" ref="M39:M51" si="17">I39-I38</f>
        <v>0</v>
      </c>
      <c r="N39" s="26" t="str">
        <f>IF(AND(K39&gt;M39,K40&lt;M40),"&lt;-- P ~ MC","")</f>
        <v/>
      </c>
      <c r="O39" s="26">
        <f>(D39+D38)/2</f>
        <v>2500000</v>
      </c>
    </row>
    <row r="40" spans="3:40" ht="15" thickBot="1" x14ac:dyDescent="0.4">
      <c r="D40" s="35">
        <f t="shared" ref="D40:D51" si="18">D39+5000000</f>
        <v>10000000</v>
      </c>
      <c r="E40" s="35">
        <f>$E$38+-2.88298498535156E-06*D40</f>
        <v>144.65808636780952</v>
      </c>
      <c r="F40" s="24">
        <f t="shared" si="15"/>
        <v>1446580863.6780951</v>
      </c>
      <c r="G40" s="19"/>
      <c r="H40" s="24">
        <f t="shared" ref="H40:H51" si="19">H39</f>
        <v>10000000</v>
      </c>
      <c r="I40" s="19">
        <f t="shared" si="16"/>
        <v>10000000</v>
      </c>
      <c r="J40" s="19">
        <f t="shared" si="12"/>
        <v>1436580863.6780951</v>
      </c>
      <c r="K40" s="19">
        <f t="shared" si="13"/>
        <v>651215807.20525849</v>
      </c>
      <c r="L40" s="36">
        <f t="shared" si="14"/>
        <v>1</v>
      </c>
      <c r="M40" s="37">
        <f t="shared" si="17"/>
        <v>0</v>
      </c>
      <c r="N40" s="26" t="str">
        <f>IF(AND(K40&gt;M40,K41&lt;M41),"&lt;-- P ~ MC","")</f>
        <v/>
      </c>
      <c r="O40" s="26">
        <f>(D40+D39)/2</f>
        <v>7500000</v>
      </c>
    </row>
    <row r="41" spans="3:40" ht="15" thickBot="1" x14ac:dyDescent="0.4">
      <c r="D41" s="35">
        <f t="shared" si="18"/>
        <v>15000000</v>
      </c>
      <c r="E41" s="35">
        <f t="shared" ref="E41:E51" si="20">$E$38+-2.88298498535156E-06*D41</f>
        <v>130.24316144105171</v>
      </c>
      <c r="F41" s="24">
        <f t="shared" si="15"/>
        <v>1953647421.6157756</v>
      </c>
      <c r="G41" s="19"/>
      <c r="H41" s="24">
        <f t="shared" si="19"/>
        <v>10000000</v>
      </c>
      <c r="I41" s="19">
        <f t="shared" si="16"/>
        <v>10000000</v>
      </c>
      <c r="J41" s="19">
        <f t="shared" si="12"/>
        <v>1943647421.6157756</v>
      </c>
      <c r="K41" s="19">
        <f t="shared" si="13"/>
        <v>507066557.93768048</v>
      </c>
      <c r="L41" s="36">
        <f t="shared" si="14"/>
        <v>0.66666666666666663</v>
      </c>
      <c r="M41" s="37">
        <f t="shared" si="17"/>
        <v>0</v>
      </c>
      <c r="N41" s="26" t="str">
        <f>IF(AND(K41&gt;M41,K42&lt;M42),"&lt;-- P ~ MC","")</f>
        <v/>
      </c>
      <c r="O41" s="26">
        <f>(D41+D40)/2</f>
        <v>12500000</v>
      </c>
    </row>
    <row r="42" spans="3:40" ht="15" thickBot="1" x14ac:dyDescent="0.4">
      <c r="D42" s="35">
        <f t="shared" si="18"/>
        <v>20000000</v>
      </c>
      <c r="E42" s="35">
        <f t="shared" si="20"/>
        <v>115.82823651429393</v>
      </c>
      <c r="F42" s="24">
        <f t="shared" si="15"/>
        <v>2316564730.2858787</v>
      </c>
      <c r="G42" s="19"/>
      <c r="H42" s="24">
        <f t="shared" si="19"/>
        <v>10000000</v>
      </c>
      <c r="I42" s="19">
        <f t="shared" si="16"/>
        <v>10000000</v>
      </c>
      <c r="J42" s="19">
        <f t="shared" si="12"/>
        <v>2306564730.2858787</v>
      </c>
      <c r="K42" s="19">
        <f t="shared" si="13"/>
        <v>362917308.67010307</v>
      </c>
      <c r="L42" s="36">
        <f t="shared" si="14"/>
        <v>0.5</v>
      </c>
      <c r="M42" s="37">
        <f t="shared" si="17"/>
        <v>0</v>
      </c>
      <c r="N42" s="26" t="s">
        <v>48</v>
      </c>
      <c r="O42" s="26">
        <f>(D42+D41)/2</f>
        <v>17500000</v>
      </c>
    </row>
    <row r="43" spans="3:40" s="8" customFormat="1" ht="15" thickBot="1" x14ac:dyDescent="0.4">
      <c r="D43" s="18">
        <f>I14*1000000</f>
        <v>22718792</v>
      </c>
      <c r="E43" s="18">
        <f t="shared" si="20"/>
        <v>107.99</v>
      </c>
      <c r="F43" s="19">
        <f>D43*E43</f>
        <v>2453402348.0799999</v>
      </c>
      <c r="G43" s="19"/>
      <c r="H43" s="19">
        <f>H42</f>
        <v>10000000</v>
      </c>
      <c r="I43" s="19">
        <f>G43+H43</f>
        <v>10000000</v>
      </c>
      <c r="J43" s="19">
        <f t="shared" si="12"/>
        <v>2443402348.0799999</v>
      </c>
      <c r="K43" s="19">
        <f t="shared" si="13"/>
        <v>136837617.79412127</v>
      </c>
      <c r="L43" s="36">
        <f t="shared" si="14"/>
        <v>0.44016424816953298</v>
      </c>
      <c r="M43" s="37">
        <f t="shared" si="17"/>
        <v>0</v>
      </c>
      <c r="N43" s="41" t="s">
        <v>48</v>
      </c>
      <c r="O43" s="41">
        <f>(D43+D42)/2</f>
        <v>21359396</v>
      </c>
    </row>
    <row r="44" spans="3:40" ht="15" thickBot="1" x14ac:dyDescent="0.4">
      <c r="D44" s="35">
        <f>D42+5000000</f>
        <v>25000000</v>
      </c>
      <c r="E44" s="35">
        <f t="shared" si="20"/>
        <v>101.41331158753613</v>
      </c>
      <c r="F44" s="24">
        <f t="shared" si="15"/>
        <v>2535332789.6884031</v>
      </c>
      <c r="G44" s="19"/>
      <c r="H44" s="24">
        <f>H42</f>
        <v>10000000</v>
      </c>
      <c r="I44" s="19">
        <f t="shared" si="16"/>
        <v>10000000</v>
      </c>
      <c r="J44" s="19">
        <f t="shared" si="12"/>
        <v>2525332789.6884031</v>
      </c>
      <c r="K44" s="19">
        <f>IFERROR(F44-F42,"")</f>
        <v>218768059.40252447</v>
      </c>
      <c r="L44" s="36">
        <f t="shared" si="14"/>
        <v>0.4</v>
      </c>
      <c r="M44" s="37">
        <f t="shared" si="17"/>
        <v>0</v>
      </c>
      <c r="N44" s="26" t="str">
        <f t="shared" ref="N44:N51" si="21">IF(AND(K44&gt;M44,K45&lt;M45),"&lt;-- P ~ MC","")</f>
        <v/>
      </c>
      <c r="O44" s="26">
        <f>(D44+D42)/2</f>
        <v>22500000</v>
      </c>
    </row>
    <row r="45" spans="3:40" ht="15" thickBot="1" x14ac:dyDescent="0.4">
      <c r="D45" s="35">
        <f t="shared" si="18"/>
        <v>30000000</v>
      </c>
      <c r="E45" s="35">
        <f t="shared" si="20"/>
        <v>86.998386660778323</v>
      </c>
      <c r="F45" s="24">
        <f t="shared" si="15"/>
        <v>2609951599.8233495</v>
      </c>
      <c r="G45" s="19"/>
      <c r="H45" s="24">
        <f t="shared" si="19"/>
        <v>10000000</v>
      </c>
      <c r="I45" s="19">
        <f t="shared" si="16"/>
        <v>10000000</v>
      </c>
      <c r="J45" s="19">
        <f t="shared" si="12"/>
        <v>2599951599.8233495</v>
      </c>
      <c r="K45" s="19">
        <f t="shared" ref="K45:K51" si="22">IFERROR(F45-F44,"")</f>
        <v>74618810.134946346</v>
      </c>
      <c r="L45" s="36">
        <f t="shared" si="14"/>
        <v>0.33333333333333331</v>
      </c>
      <c r="M45" s="37">
        <f>K45</f>
        <v>74618810.134946346</v>
      </c>
      <c r="N45" s="26" t="str">
        <f t="shared" si="21"/>
        <v/>
      </c>
      <c r="O45" s="26">
        <f t="shared" ref="O45:O51" si="23">(D45+D44)/2</f>
        <v>27500000</v>
      </c>
    </row>
    <row r="46" spans="3:40" ht="15" thickBot="1" x14ac:dyDescent="0.4">
      <c r="D46" s="35">
        <f t="shared" si="18"/>
        <v>35000000</v>
      </c>
      <c r="E46" s="35">
        <f t="shared" si="20"/>
        <v>72.583461734020531</v>
      </c>
      <c r="F46" s="24">
        <f t="shared" si="15"/>
        <v>2540421160.6907187</v>
      </c>
      <c r="G46" s="19"/>
      <c r="H46" s="24">
        <f t="shared" si="19"/>
        <v>10000000</v>
      </c>
      <c r="I46" s="19">
        <f t="shared" si="16"/>
        <v>10000000</v>
      </c>
      <c r="J46" s="19">
        <f t="shared" si="12"/>
        <v>2530421160.6907187</v>
      </c>
      <c r="K46" s="19">
        <f t="shared" si="22"/>
        <v>-69530439.132630825</v>
      </c>
      <c r="L46" s="36">
        <f t="shared" si="14"/>
        <v>0.2857142857142857</v>
      </c>
      <c r="M46" s="37"/>
      <c r="N46" s="26" t="str">
        <f t="shared" si="21"/>
        <v/>
      </c>
      <c r="O46" s="26">
        <f t="shared" si="23"/>
        <v>32500000</v>
      </c>
    </row>
    <row r="47" spans="3:40" ht="15" thickBot="1" x14ac:dyDescent="0.4">
      <c r="D47" s="35">
        <f t="shared" si="18"/>
        <v>40000000</v>
      </c>
      <c r="E47" s="35">
        <f t="shared" si="20"/>
        <v>58.168536807262726</v>
      </c>
      <c r="F47" s="24">
        <f t="shared" si="15"/>
        <v>2326741472.2905092</v>
      </c>
      <c r="G47" s="19"/>
      <c r="H47" s="24">
        <f t="shared" si="19"/>
        <v>10000000</v>
      </c>
      <c r="I47" s="19">
        <f t="shared" si="16"/>
        <v>10000000</v>
      </c>
      <c r="J47" s="19">
        <f t="shared" si="12"/>
        <v>2316741472.2905092</v>
      </c>
      <c r="K47" s="19">
        <f t="shared" si="22"/>
        <v>-213679688.40020943</v>
      </c>
      <c r="L47" s="36">
        <f t="shared" si="14"/>
        <v>0.25</v>
      </c>
      <c r="M47" s="37">
        <f t="shared" si="17"/>
        <v>0</v>
      </c>
      <c r="N47" s="26" t="str">
        <f t="shared" si="21"/>
        <v/>
      </c>
      <c r="O47" s="26">
        <f t="shared" si="23"/>
        <v>37500000</v>
      </c>
    </row>
    <row r="48" spans="3:40" ht="15" thickBot="1" x14ac:dyDescent="0.4">
      <c r="D48" s="35">
        <f t="shared" si="18"/>
        <v>45000000</v>
      </c>
      <c r="E48" s="35">
        <f t="shared" si="20"/>
        <v>43.753611880504934</v>
      </c>
      <c r="F48" s="24">
        <f t="shared" si="15"/>
        <v>1968912534.6227221</v>
      </c>
      <c r="G48" s="19"/>
      <c r="H48" s="24">
        <f t="shared" si="19"/>
        <v>10000000</v>
      </c>
      <c r="I48" s="19">
        <f t="shared" si="16"/>
        <v>10000000</v>
      </c>
      <c r="J48" s="19">
        <f t="shared" si="12"/>
        <v>1958912534.6227221</v>
      </c>
      <c r="K48" s="19">
        <f t="shared" si="22"/>
        <v>-357828937.66778708</v>
      </c>
      <c r="L48" s="36">
        <f t="shared" si="14"/>
        <v>0.22222222222222221</v>
      </c>
      <c r="M48" s="37">
        <f t="shared" si="17"/>
        <v>0</v>
      </c>
      <c r="N48" s="26" t="str">
        <f t="shared" si="21"/>
        <v/>
      </c>
      <c r="O48" s="26">
        <f t="shared" si="23"/>
        <v>42500000</v>
      </c>
    </row>
    <row r="49" spans="3:40" ht="15" thickBot="1" x14ac:dyDescent="0.4">
      <c r="D49" s="35">
        <f t="shared" si="18"/>
        <v>50000000</v>
      </c>
      <c r="E49" s="35">
        <f t="shared" si="20"/>
        <v>29.338686953747128</v>
      </c>
      <c r="F49" s="24">
        <f t="shared" si="15"/>
        <v>1466934347.6873565</v>
      </c>
      <c r="G49" s="19"/>
      <c r="H49" s="24">
        <f t="shared" si="19"/>
        <v>10000000</v>
      </c>
      <c r="I49" s="19">
        <f t="shared" si="16"/>
        <v>10000000</v>
      </c>
      <c r="J49" s="19">
        <f t="shared" si="12"/>
        <v>1456934347.6873565</v>
      </c>
      <c r="K49" s="19">
        <f t="shared" si="22"/>
        <v>-501978186.93536568</v>
      </c>
      <c r="L49" s="36">
        <f t="shared" si="14"/>
        <v>0.2</v>
      </c>
      <c r="M49" s="37">
        <f t="shared" si="17"/>
        <v>0</v>
      </c>
      <c r="N49" s="26" t="str">
        <f t="shared" si="21"/>
        <v/>
      </c>
      <c r="O49" s="26">
        <f t="shared" si="23"/>
        <v>47500000</v>
      </c>
    </row>
    <row r="50" spans="3:40" ht="15" thickBot="1" x14ac:dyDescent="0.4">
      <c r="D50" s="35">
        <f t="shared" si="18"/>
        <v>55000000</v>
      </c>
      <c r="E50" s="35">
        <f t="shared" si="20"/>
        <v>14.923762026989323</v>
      </c>
      <c r="F50" s="24">
        <f t="shared" si="15"/>
        <v>820806911.48441279</v>
      </c>
      <c r="G50" s="19"/>
      <c r="H50" s="24">
        <f t="shared" si="19"/>
        <v>10000000</v>
      </c>
      <c r="I50" s="19">
        <f>G50+H50</f>
        <v>10000000</v>
      </c>
      <c r="J50" s="19">
        <f t="shared" si="12"/>
        <v>810806911.48441279</v>
      </c>
      <c r="K50" s="19">
        <f t="shared" si="22"/>
        <v>-646127436.20294368</v>
      </c>
      <c r="L50" s="36">
        <f t="shared" si="14"/>
        <v>0.18181818181818182</v>
      </c>
      <c r="M50" s="37">
        <f t="shared" si="17"/>
        <v>0</v>
      </c>
      <c r="N50" s="26" t="str">
        <f t="shared" si="21"/>
        <v/>
      </c>
      <c r="O50" s="26">
        <f t="shared" si="23"/>
        <v>52500000</v>
      </c>
    </row>
    <row r="51" spans="3:40" ht="15" thickBot="1" x14ac:dyDescent="0.4">
      <c r="D51" s="35">
        <f t="shared" si="18"/>
        <v>60000000</v>
      </c>
      <c r="E51" s="35">
        <f t="shared" si="20"/>
        <v>0.50883710023151707</v>
      </c>
      <c r="F51" s="24">
        <f t="shared" si="15"/>
        <v>30530226.013891023</v>
      </c>
      <c r="G51" s="19"/>
      <c r="H51" s="24">
        <f t="shared" si="19"/>
        <v>10000000</v>
      </c>
      <c r="I51" s="19">
        <f>G51+H51</f>
        <v>10000000</v>
      </c>
      <c r="J51" s="19">
        <f t="shared" si="12"/>
        <v>20530226.013891023</v>
      </c>
      <c r="K51" s="19">
        <f t="shared" si="22"/>
        <v>-790276685.47052181</v>
      </c>
      <c r="L51" s="36">
        <f t="shared" si="14"/>
        <v>0.16666666666666666</v>
      </c>
      <c r="M51" s="37">
        <f t="shared" si="17"/>
        <v>0</v>
      </c>
      <c r="N51" s="26" t="str">
        <f t="shared" si="21"/>
        <v/>
      </c>
      <c r="O51" s="26">
        <f t="shared" si="23"/>
        <v>57500000</v>
      </c>
    </row>
    <row r="52" spans="3:40" ht="15" thickBot="1" x14ac:dyDescent="0.4">
      <c r="D52" s="35"/>
      <c r="E52" s="35"/>
      <c r="F52" s="24"/>
      <c r="G52" s="19"/>
      <c r="H52" s="24"/>
      <c r="I52" s="19"/>
      <c r="J52" s="19"/>
      <c r="K52" s="36"/>
      <c r="L52" s="36"/>
      <c r="M52" s="37"/>
      <c r="N52" s="26"/>
      <c r="O52" s="26"/>
    </row>
    <row r="53" spans="3:40" ht="15" thickBot="1" x14ac:dyDescent="0.4">
      <c r="D53" s="35"/>
      <c r="E53" s="35"/>
      <c r="F53" s="24"/>
      <c r="G53" s="19"/>
      <c r="H53" s="24"/>
      <c r="I53" s="19"/>
      <c r="J53" s="19"/>
      <c r="K53" s="36"/>
      <c r="L53" s="36"/>
      <c r="M53" s="37"/>
      <c r="N53" s="26"/>
      <c r="O53" s="26"/>
    </row>
    <row r="54" spans="3:40" ht="15" thickBot="1" x14ac:dyDescent="0.4">
      <c r="D54" s="35"/>
      <c r="E54" s="35"/>
      <c r="F54" s="24"/>
      <c r="G54" s="19"/>
      <c r="H54" s="24"/>
      <c r="I54" s="19"/>
      <c r="J54" s="19"/>
      <c r="K54" s="36"/>
      <c r="L54" s="36"/>
      <c r="M54" s="37"/>
      <c r="N54" s="26"/>
      <c r="O54" s="26"/>
    </row>
    <row r="55" spans="3:40" ht="15" thickBot="1" x14ac:dyDescent="0.4">
      <c r="D55" s="35"/>
      <c r="E55" s="35"/>
      <c r="F55" s="24"/>
      <c r="G55" s="19"/>
      <c r="H55" s="24"/>
      <c r="I55" s="19"/>
      <c r="J55" s="19"/>
      <c r="K55" s="36"/>
      <c r="L55" s="36"/>
      <c r="M55" s="37"/>
      <c r="N55" s="26"/>
      <c r="O55" s="26"/>
    </row>
    <row r="56" spans="3:40" ht="15" thickBot="1" x14ac:dyDescent="0.4">
      <c r="D56" s="35"/>
      <c r="E56" s="35"/>
      <c r="F56" s="24"/>
      <c r="G56" s="19"/>
      <c r="H56" s="24"/>
      <c r="I56" s="19"/>
      <c r="J56" s="19"/>
      <c r="K56" s="36"/>
      <c r="L56" s="36"/>
      <c r="M56" s="37"/>
      <c r="N56" s="26"/>
      <c r="O56" s="26"/>
    </row>
    <row r="57" spans="3:40" ht="15" thickBot="1" x14ac:dyDescent="0.4">
      <c r="D57" s="35"/>
      <c r="E57" s="35"/>
      <c r="F57" s="24"/>
      <c r="G57" s="19"/>
      <c r="H57" s="24"/>
      <c r="I57" s="19"/>
      <c r="J57" s="19"/>
      <c r="K57" s="36"/>
      <c r="L57" s="36"/>
      <c r="M57" s="37"/>
      <c r="N57" s="26"/>
      <c r="O57" s="26"/>
    </row>
    <row r="58" spans="3:40" ht="15" thickBot="1" x14ac:dyDescent="0.4">
      <c r="D58" s="35"/>
      <c r="E58" s="35"/>
      <c r="F58" s="24"/>
      <c r="G58" s="19"/>
      <c r="H58" s="24"/>
      <c r="I58" s="19"/>
      <c r="J58" s="19"/>
      <c r="K58" s="36"/>
      <c r="L58" s="36"/>
      <c r="M58" s="37"/>
      <c r="N58" s="26"/>
      <c r="O58" s="26"/>
    </row>
    <row r="60" spans="3:40" ht="15" thickBot="1" x14ac:dyDescent="0.4"/>
    <row r="61" spans="3:40" ht="15" thickBot="1" x14ac:dyDescent="0.4">
      <c r="C61" s="17" t="s">
        <v>30</v>
      </c>
      <c r="D61" s="17" t="s">
        <v>18</v>
      </c>
      <c r="E61" s="17"/>
      <c r="F61" s="17" t="s">
        <v>19</v>
      </c>
      <c r="G61" s="17" t="s">
        <v>14</v>
      </c>
      <c r="H61" s="17" t="s">
        <v>15</v>
      </c>
      <c r="I61" s="28" t="s">
        <v>16</v>
      </c>
      <c r="J61" s="17" t="s">
        <v>17</v>
      </c>
      <c r="K61" s="17" t="s">
        <v>35</v>
      </c>
      <c r="L61" s="17" t="s">
        <v>49</v>
      </c>
      <c r="M61" s="17" t="s">
        <v>27</v>
      </c>
      <c r="N61" s="17" t="s">
        <v>48</v>
      </c>
      <c r="O61" s="17" t="s">
        <v>28</v>
      </c>
    </row>
    <row r="62" spans="3:40" ht="15" thickBot="1" x14ac:dyDescent="0.4">
      <c r="D62" s="34">
        <v>0</v>
      </c>
      <c r="E62" s="35" t="e">
        <f>$C$14-(-2.88298498535156E-06*M38*1000000)</f>
        <v>#VALUE!</v>
      </c>
      <c r="F62" s="24" t="e">
        <f>D62*E62</f>
        <v>#VALUE!</v>
      </c>
      <c r="G62" s="19"/>
      <c r="H62" s="24">
        <v>10000000</v>
      </c>
      <c r="I62" s="19">
        <f>G62+H62</f>
        <v>10000000</v>
      </c>
      <c r="J62" s="19" t="e">
        <f t="shared" ref="J62:J75" si="24">F62-I62</f>
        <v>#VALUE!</v>
      </c>
      <c r="K62" s="36" t="str">
        <f t="shared" ref="K62:K67" si="25">IFERROR(F62-F61,"")</f>
        <v/>
      </c>
      <c r="L62" s="36" t="e">
        <f t="shared" ref="L62:L75" si="26">I62/D62</f>
        <v>#DIV/0!</v>
      </c>
      <c r="M62" s="37">
        <v>0.2</v>
      </c>
      <c r="N62" s="26" t="str">
        <f>IF(AND(K62&gt;M62,K63&lt;M63),"&lt;-- P ~ MC","")</f>
        <v/>
      </c>
      <c r="O62" s="2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</row>
    <row r="63" spans="3:40" ht="15" thickBot="1" x14ac:dyDescent="0.4">
      <c r="D63" s="35">
        <f>D62+5000000</f>
        <v>5000000</v>
      </c>
      <c r="E63" s="35">
        <f>$E$38+-2.88298498535156E-06*D63</f>
        <v>159.07301129456732</v>
      </c>
      <c r="F63" s="24">
        <f t="shared" ref="F63:F75" si="27">D63*E63</f>
        <v>795365056.47283661</v>
      </c>
      <c r="G63" s="19"/>
      <c r="H63" s="24">
        <f>H62</f>
        <v>10000000</v>
      </c>
      <c r="I63" s="19">
        <f t="shared" ref="I63:I75" si="28">G63+H63</f>
        <v>10000000</v>
      </c>
      <c r="J63" s="19">
        <f t="shared" si="24"/>
        <v>785365056.47283661</v>
      </c>
      <c r="K63" s="19" t="str">
        <f t="shared" si="25"/>
        <v/>
      </c>
      <c r="L63" s="36">
        <f t="shared" si="26"/>
        <v>2</v>
      </c>
      <c r="M63" s="37">
        <f>I63-I62</f>
        <v>0</v>
      </c>
      <c r="N63" s="26" t="str">
        <f>IF(AND(K63&gt;M63,K64&lt;M64),"&lt;-- P ~ MC","")</f>
        <v/>
      </c>
      <c r="O63" s="26">
        <f>(D63+D62)/2</f>
        <v>2500000</v>
      </c>
    </row>
    <row r="64" spans="3:40" ht="15" thickBot="1" x14ac:dyDescent="0.4">
      <c r="D64" s="35">
        <f>D63+5000000</f>
        <v>10000000</v>
      </c>
      <c r="E64" s="35">
        <f t="shared" ref="E64:E75" si="29">$E$38+-2.88298498535156E-06*D64</f>
        <v>144.65808636780952</v>
      </c>
      <c r="F64" s="24">
        <f t="shared" si="27"/>
        <v>1446580863.6780951</v>
      </c>
      <c r="G64" s="19"/>
      <c r="H64" s="24">
        <f>H63</f>
        <v>10000000</v>
      </c>
      <c r="I64" s="19">
        <f t="shared" si="28"/>
        <v>10000000</v>
      </c>
      <c r="J64" s="19">
        <f t="shared" si="24"/>
        <v>1436580863.6780951</v>
      </c>
      <c r="K64" s="19">
        <f t="shared" si="25"/>
        <v>651215807.20525849</v>
      </c>
      <c r="L64" s="36">
        <f t="shared" si="26"/>
        <v>1</v>
      </c>
      <c r="M64" s="37">
        <f>M63</f>
        <v>0</v>
      </c>
      <c r="N64" s="26" t="str">
        <f>IF(AND(K64&gt;M64,K65&lt;M65),"&lt;-- P ~ MC","")</f>
        <v/>
      </c>
      <c r="O64" s="26">
        <f>(D64+D63)/2</f>
        <v>7500000</v>
      </c>
    </row>
    <row r="65" spans="4:15" ht="15" thickBot="1" x14ac:dyDescent="0.4">
      <c r="D65" s="35">
        <f>D64+5000000</f>
        <v>15000000</v>
      </c>
      <c r="E65" s="35">
        <f t="shared" si="29"/>
        <v>130.24316144105171</v>
      </c>
      <c r="F65" s="24">
        <f t="shared" si="27"/>
        <v>1953647421.6157756</v>
      </c>
      <c r="G65" s="19"/>
      <c r="H65" s="24">
        <f>H64</f>
        <v>10000000</v>
      </c>
      <c r="I65" s="19">
        <f t="shared" si="28"/>
        <v>10000000</v>
      </c>
      <c r="J65" s="19">
        <f t="shared" si="24"/>
        <v>1943647421.6157756</v>
      </c>
      <c r="K65" s="19">
        <f t="shared" si="25"/>
        <v>507066557.93768048</v>
      </c>
      <c r="L65" s="36">
        <f t="shared" si="26"/>
        <v>0.66666666666666663</v>
      </c>
      <c r="M65" s="37">
        <f>M64</f>
        <v>0</v>
      </c>
      <c r="N65" s="26" t="str">
        <f>IF(AND(K65&gt;M65,K66&lt;M66),"&lt;-- P ~ MC","")</f>
        <v/>
      </c>
      <c r="O65" s="26">
        <f>(D65+D64)/2</f>
        <v>12500000</v>
      </c>
    </row>
    <row r="66" spans="4:15" ht="15" thickBot="1" x14ac:dyDescent="0.4">
      <c r="D66" s="35">
        <f>D65+5000000</f>
        <v>20000000</v>
      </c>
      <c r="E66" s="35">
        <f t="shared" si="29"/>
        <v>115.82823651429393</v>
      </c>
      <c r="F66" s="24">
        <f t="shared" si="27"/>
        <v>2316564730.2858787</v>
      </c>
      <c r="G66" s="19"/>
      <c r="H66" s="24">
        <f>H65</f>
        <v>10000000</v>
      </c>
      <c r="I66" s="19">
        <f t="shared" si="28"/>
        <v>10000000</v>
      </c>
      <c r="J66" s="19">
        <f t="shared" si="24"/>
        <v>2306564730.2858787</v>
      </c>
      <c r="K66" s="19">
        <f t="shared" si="25"/>
        <v>362917308.67010307</v>
      </c>
      <c r="L66" s="36">
        <f t="shared" si="26"/>
        <v>0.5</v>
      </c>
      <c r="M66" s="37">
        <f>M65</f>
        <v>0</v>
      </c>
      <c r="N66" s="26" t="s">
        <v>48</v>
      </c>
      <c r="O66" s="26">
        <f>(D66+D65)/2</f>
        <v>17500000</v>
      </c>
    </row>
    <row r="67" spans="4:15" s="8" customFormat="1" ht="15" thickBot="1" x14ac:dyDescent="0.4">
      <c r="D67" s="18" t="e">
        <f>M38*1000000</f>
        <v>#VALUE!</v>
      </c>
      <c r="E67" s="18" t="e">
        <f t="shared" si="29"/>
        <v>#VALUE!</v>
      </c>
      <c r="F67" s="19" t="e">
        <f t="shared" si="27"/>
        <v>#VALUE!</v>
      </c>
      <c r="G67" s="19"/>
      <c r="H67" s="19">
        <f>H66</f>
        <v>10000000</v>
      </c>
      <c r="I67" s="19">
        <f t="shared" si="28"/>
        <v>10000000</v>
      </c>
      <c r="J67" s="19" t="e">
        <f t="shared" si="24"/>
        <v>#VALUE!</v>
      </c>
      <c r="K67" s="19" t="str">
        <f t="shared" si="25"/>
        <v/>
      </c>
      <c r="L67" s="36" t="e">
        <f t="shared" si="26"/>
        <v>#VALUE!</v>
      </c>
      <c r="M67" s="40">
        <f>M66</f>
        <v>0</v>
      </c>
      <c r="N67" s="41" t="s">
        <v>48</v>
      </c>
      <c r="O67" s="41" t="e">
        <f>(D67+D66)/2</f>
        <v>#VALUE!</v>
      </c>
    </row>
    <row r="68" spans="4:15" ht="15" thickBot="1" x14ac:dyDescent="0.4">
      <c r="D68" s="35">
        <f>D66+5000000</f>
        <v>25000000</v>
      </c>
      <c r="E68" s="35">
        <f t="shared" si="29"/>
        <v>101.41331158753613</v>
      </c>
      <c r="F68" s="24">
        <f t="shared" si="27"/>
        <v>2535332789.6884031</v>
      </c>
      <c r="G68" s="19"/>
      <c r="H68" s="24">
        <f>H66</f>
        <v>10000000</v>
      </c>
      <c r="I68" s="19">
        <f t="shared" si="28"/>
        <v>10000000</v>
      </c>
      <c r="J68" s="19">
        <f t="shared" si="24"/>
        <v>2525332789.6884031</v>
      </c>
      <c r="K68" s="19">
        <f>IFERROR(F68-F66,"")</f>
        <v>218768059.40252447</v>
      </c>
      <c r="L68" s="36">
        <f t="shared" si="26"/>
        <v>0.4</v>
      </c>
      <c r="M68" s="37">
        <f>M66</f>
        <v>0</v>
      </c>
      <c r="N68" s="26" t="str">
        <f t="shared" ref="N68:N75" si="30">IF(AND(K68&gt;M68,K69&lt;M69),"&lt;-- P ~ MC","")</f>
        <v/>
      </c>
      <c r="O68" s="26">
        <f>(D68+D66)/2</f>
        <v>22500000</v>
      </c>
    </row>
    <row r="69" spans="4:15" ht="15" thickBot="1" x14ac:dyDescent="0.4">
      <c r="D69" s="35">
        <f t="shared" ref="D69:D75" si="31">D68+5000000</f>
        <v>30000000</v>
      </c>
      <c r="E69" s="35">
        <f t="shared" si="29"/>
        <v>86.998386660778323</v>
      </c>
      <c r="F69" s="24">
        <f t="shared" si="27"/>
        <v>2609951599.8233495</v>
      </c>
      <c r="G69" s="19"/>
      <c r="H69" s="24">
        <f t="shared" ref="H69:H75" si="32">H68</f>
        <v>10000000</v>
      </c>
      <c r="I69" s="19">
        <f t="shared" si="28"/>
        <v>10000000</v>
      </c>
      <c r="J69" s="19">
        <f t="shared" si="24"/>
        <v>2599951599.8233495</v>
      </c>
      <c r="K69" s="19">
        <f t="shared" ref="K69:K75" si="33">IFERROR(F69-F68,"")</f>
        <v>74618810.134946346</v>
      </c>
      <c r="L69" s="36">
        <f t="shared" si="26"/>
        <v>0.33333333333333331</v>
      </c>
      <c r="M69" s="37">
        <f t="shared" ref="M69:M75" si="34">M68</f>
        <v>0</v>
      </c>
      <c r="N69" s="26" t="str">
        <f t="shared" si="30"/>
        <v>&lt;-- P ~ MC</v>
      </c>
      <c r="O69" s="26">
        <f t="shared" ref="O69:O75" si="35">(D69+D68)/2</f>
        <v>27500000</v>
      </c>
    </row>
    <row r="70" spans="4:15" ht="15" thickBot="1" x14ac:dyDescent="0.4">
      <c r="D70" s="35">
        <f t="shared" si="31"/>
        <v>35000000</v>
      </c>
      <c r="E70" s="35">
        <f t="shared" si="29"/>
        <v>72.583461734020531</v>
      </c>
      <c r="F70" s="24">
        <f t="shared" si="27"/>
        <v>2540421160.6907187</v>
      </c>
      <c r="G70" s="19"/>
      <c r="H70" s="24">
        <f t="shared" si="32"/>
        <v>10000000</v>
      </c>
      <c r="I70" s="19">
        <f t="shared" si="28"/>
        <v>10000000</v>
      </c>
      <c r="J70" s="19">
        <f t="shared" si="24"/>
        <v>2530421160.6907187</v>
      </c>
      <c r="K70" s="19">
        <f t="shared" si="33"/>
        <v>-69530439.132630825</v>
      </c>
      <c r="L70" s="36">
        <f t="shared" si="26"/>
        <v>0.2857142857142857</v>
      </c>
      <c r="M70" s="37">
        <f t="shared" si="34"/>
        <v>0</v>
      </c>
      <c r="N70" s="26" t="str">
        <f t="shared" si="30"/>
        <v/>
      </c>
      <c r="O70" s="26">
        <f t="shared" si="35"/>
        <v>32500000</v>
      </c>
    </row>
    <row r="71" spans="4:15" ht="15" thickBot="1" x14ac:dyDescent="0.4">
      <c r="D71" s="35">
        <f t="shared" si="31"/>
        <v>40000000</v>
      </c>
      <c r="E71" s="35">
        <f t="shared" si="29"/>
        <v>58.168536807262726</v>
      </c>
      <c r="F71" s="24">
        <f t="shared" si="27"/>
        <v>2326741472.2905092</v>
      </c>
      <c r="G71" s="19"/>
      <c r="H71" s="24">
        <f t="shared" si="32"/>
        <v>10000000</v>
      </c>
      <c r="I71" s="19">
        <f t="shared" si="28"/>
        <v>10000000</v>
      </c>
      <c r="J71" s="19">
        <f t="shared" si="24"/>
        <v>2316741472.2905092</v>
      </c>
      <c r="K71" s="19">
        <f t="shared" si="33"/>
        <v>-213679688.40020943</v>
      </c>
      <c r="L71" s="36">
        <f t="shared" si="26"/>
        <v>0.25</v>
      </c>
      <c r="M71" s="37">
        <f t="shared" si="34"/>
        <v>0</v>
      </c>
      <c r="N71" s="26" t="str">
        <f t="shared" si="30"/>
        <v/>
      </c>
      <c r="O71" s="26">
        <f t="shared" si="35"/>
        <v>37500000</v>
      </c>
    </row>
    <row r="72" spans="4:15" ht="15" thickBot="1" x14ac:dyDescent="0.4">
      <c r="D72" s="35">
        <f t="shared" si="31"/>
        <v>45000000</v>
      </c>
      <c r="E72" s="35">
        <f t="shared" si="29"/>
        <v>43.753611880504934</v>
      </c>
      <c r="F72" s="24">
        <f t="shared" si="27"/>
        <v>1968912534.6227221</v>
      </c>
      <c r="G72" s="19"/>
      <c r="H72" s="24">
        <f t="shared" si="32"/>
        <v>10000000</v>
      </c>
      <c r="I72" s="19">
        <f t="shared" si="28"/>
        <v>10000000</v>
      </c>
      <c r="J72" s="19">
        <f t="shared" si="24"/>
        <v>1958912534.6227221</v>
      </c>
      <c r="K72" s="19">
        <f t="shared" si="33"/>
        <v>-357828937.66778708</v>
      </c>
      <c r="L72" s="36">
        <f t="shared" si="26"/>
        <v>0.22222222222222221</v>
      </c>
      <c r="M72" s="37">
        <f t="shared" si="34"/>
        <v>0</v>
      </c>
      <c r="N72" s="26" t="str">
        <f t="shared" si="30"/>
        <v/>
      </c>
      <c r="O72" s="26">
        <f t="shared" si="35"/>
        <v>42500000</v>
      </c>
    </row>
    <row r="73" spans="4:15" ht="15" thickBot="1" x14ac:dyDescent="0.4">
      <c r="D73" s="35">
        <f t="shared" si="31"/>
        <v>50000000</v>
      </c>
      <c r="E73" s="35">
        <f t="shared" si="29"/>
        <v>29.338686953747128</v>
      </c>
      <c r="F73" s="24">
        <f t="shared" si="27"/>
        <v>1466934347.6873565</v>
      </c>
      <c r="G73" s="19"/>
      <c r="H73" s="24">
        <f t="shared" si="32"/>
        <v>10000000</v>
      </c>
      <c r="I73" s="19">
        <f t="shared" si="28"/>
        <v>10000000</v>
      </c>
      <c r="J73" s="19">
        <f t="shared" si="24"/>
        <v>1456934347.6873565</v>
      </c>
      <c r="K73" s="19">
        <f t="shared" si="33"/>
        <v>-501978186.93536568</v>
      </c>
      <c r="L73" s="36">
        <f t="shared" si="26"/>
        <v>0.2</v>
      </c>
      <c r="M73" s="37">
        <f t="shared" si="34"/>
        <v>0</v>
      </c>
      <c r="N73" s="26" t="str">
        <f t="shared" si="30"/>
        <v/>
      </c>
      <c r="O73" s="26">
        <f t="shared" si="35"/>
        <v>47500000</v>
      </c>
    </row>
    <row r="74" spans="4:15" ht="15" thickBot="1" x14ac:dyDescent="0.4">
      <c r="D74" s="35">
        <f t="shared" si="31"/>
        <v>55000000</v>
      </c>
      <c r="E74" s="35">
        <f t="shared" si="29"/>
        <v>14.923762026989323</v>
      </c>
      <c r="F74" s="24">
        <f t="shared" si="27"/>
        <v>820806911.48441279</v>
      </c>
      <c r="G74" s="19"/>
      <c r="H74" s="24">
        <f t="shared" si="32"/>
        <v>10000000</v>
      </c>
      <c r="I74" s="19">
        <f t="shared" si="28"/>
        <v>10000000</v>
      </c>
      <c r="J74" s="19">
        <f t="shared" si="24"/>
        <v>810806911.48441279</v>
      </c>
      <c r="K74" s="19">
        <f t="shared" si="33"/>
        <v>-646127436.20294368</v>
      </c>
      <c r="L74" s="36">
        <f t="shared" si="26"/>
        <v>0.18181818181818182</v>
      </c>
      <c r="M74" s="37">
        <f t="shared" si="34"/>
        <v>0</v>
      </c>
      <c r="N74" s="26" t="str">
        <f t="shared" si="30"/>
        <v/>
      </c>
      <c r="O74" s="26">
        <f t="shared" si="35"/>
        <v>52500000</v>
      </c>
    </row>
    <row r="75" spans="4:15" ht="15" thickBot="1" x14ac:dyDescent="0.4">
      <c r="D75" s="35">
        <f t="shared" si="31"/>
        <v>60000000</v>
      </c>
      <c r="E75" s="35">
        <f t="shared" si="29"/>
        <v>0.50883710023151707</v>
      </c>
      <c r="F75" s="24">
        <f t="shared" si="27"/>
        <v>30530226.013891023</v>
      </c>
      <c r="G75" s="19"/>
      <c r="H75" s="24">
        <f t="shared" si="32"/>
        <v>10000000</v>
      </c>
      <c r="I75" s="19">
        <f t="shared" si="28"/>
        <v>10000000</v>
      </c>
      <c r="J75" s="19">
        <f t="shared" si="24"/>
        <v>20530226.013891023</v>
      </c>
      <c r="K75" s="19">
        <f t="shared" si="33"/>
        <v>-790276685.47052181</v>
      </c>
      <c r="L75" s="36">
        <f t="shared" si="26"/>
        <v>0.16666666666666666</v>
      </c>
      <c r="M75" s="37">
        <f t="shared" si="34"/>
        <v>0</v>
      </c>
      <c r="N75" s="26" t="str">
        <f t="shared" si="30"/>
        <v/>
      </c>
      <c r="O75" s="26">
        <f t="shared" si="35"/>
        <v>57500000</v>
      </c>
    </row>
    <row r="76" spans="4:15" ht="15" thickBot="1" x14ac:dyDescent="0.4">
      <c r="D76" s="35"/>
      <c r="E76" s="35"/>
      <c r="F76" s="24"/>
      <c r="G76" s="19"/>
      <c r="H76" s="24"/>
      <c r="I76" s="19"/>
      <c r="J76" s="19"/>
      <c r="K76" s="36"/>
      <c r="L76" s="36"/>
      <c r="M76" s="37"/>
      <c r="N76" s="26"/>
      <c r="O76" s="26"/>
    </row>
    <row r="77" spans="4:15" ht="15" thickBot="1" x14ac:dyDescent="0.4">
      <c r="D77" s="35"/>
      <c r="E77" s="35"/>
      <c r="F77" s="24"/>
      <c r="G77" s="19"/>
      <c r="H77" s="24"/>
      <c r="I77" s="19"/>
      <c r="J77" s="19"/>
      <c r="K77" s="36"/>
      <c r="L77" s="36"/>
      <c r="M77" s="37"/>
      <c r="N77" s="26"/>
      <c r="O77" s="26"/>
    </row>
    <row r="78" spans="4:15" ht="15" thickBot="1" x14ac:dyDescent="0.4">
      <c r="D78" s="35"/>
      <c r="E78" s="35"/>
      <c r="F78" s="24"/>
      <c r="G78" s="19"/>
      <c r="H78" s="24"/>
      <c r="I78" s="19"/>
      <c r="J78" s="19"/>
      <c r="K78" s="36"/>
      <c r="L78" s="36"/>
      <c r="M78" s="37"/>
      <c r="N78" s="26"/>
      <c r="O78" s="26"/>
    </row>
    <row r="79" spans="4:15" ht="15" thickBot="1" x14ac:dyDescent="0.4">
      <c r="D79" s="35"/>
      <c r="E79" s="35"/>
      <c r="F79" s="24"/>
      <c r="G79" s="19"/>
      <c r="H79" s="24"/>
      <c r="I79" s="19"/>
      <c r="J79" s="19"/>
      <c r="K79" s="36"/>
      <c r="L79" s="36"/>
      <c r="M79" s="37"/>
      <c r="N79" s="26"/>
      <c r="O79" s="26"/>
    </row>
    <row r="80" spans="4:15" ht="15" thickBot="1" x14ac:dyDescent="0.4">
      <c r="D80" s="35"/>
      <c r="E80" s="35"/>
      <c r="F80" s="24"/>
      <c r="G80" s="19"/>
      <c r="H80" s="24"/>
      <c r="I80" s="19"/>
      <c r="J80" s="19"/>
      <c r="K80" s="36"/>
      <c r="L80" s="36"/>
      <c r="M80" s="37"/>
      <c r="N80" s="26"/>
      <c r="O80" s="26"/>
    </row>
    <row r="81" spans="3:40" ht="15" thickBot="1" x14ac:dyDescent="0.4">
      <c r="D81" s="35"/>
      <c r="E81" s="35"/>
      <c r="F81" s="24"/>
      <c r="G81" s="19"/>
      <c r="H81" s="24"/>
      <c r="I81" s="19"/>
      <c r="J81" s="19"/>
      <c r="K81" s="36"/>
      <c r="L81" s="36"/>
      <c r="M81" s="37"/>
      <c r="N81" s="26"/>
      <c r="O81" s="26"/>
    </row>
    <row r="82" spans="3:40" ht="15" thickBot="1" x14ac:dyDescent="0.4">
      <c r="D82" s="35"/>
      <c r="E82" s="35"/>
      <c r="F82" s="24"/>
      <c r="G82" s="19"/>
      <c r="H82" s="24"/>
      <c r="I82" s="19"/>
      <c r="J82" s="19"/>
      <c r="K82" s="36"/>
      <c r="L82" s="36"/>
      <c r="M82" s="37"/>
      <c r="N82" s="26"/>
      <c r="O82" s="26"/>
    </row>
    <row r="84" spans="3:40" ht="15" thickBot="1" x14ac:dyDescent="0.4"/>
    <row r="85" spans="3:40" ht="15" thickBot="1" x14ac:dyDescent="0.4">
      <c r="C85" s="17" t="s">
        <v>30</v>
      </c>
      <c r="D85" s="17" t="s">
        <v>18</v>
      </c>
      <c r="E85" s="17"/>
      <c r="F85" s="17" t="s">
        <v>19</v>
      </c>
      <c r="G85" s="17" t="s">
        <v>14</v>
      </c>
      <c r="H85" s="17" t="s">
        <v>15</v>
      </c>
      <c r="I85" s="28" t="s">
        <v>16</v>
      </c>
      <c r="J85" s="17" t="s">
        <v>17</v>
      </c>
      <c r="K85" s="17" t="s">
        <v>35</v>
      </c>
      <c r="L85" s="17" t="s">
        <v>49</v>
      </c>
      <c r="M85" s="17" t="s">
        <v>27</v>
      </c>
      <c r="N85" s="17" t="s">
        <v>48</v>
      </c>
      <c r="O85" s="17" t="s">
        <v>28</v>
      </c>
    </row>
    <row r="86" spans="3:40" ht="15" thickBot="1" x14ac:dyDescent="0.4">
      <c r="D86" s="34">
        <v>0</v>
      </c>
      <c r="E86" s="34">
        <v>8</v>
      </c>
      <c r="F86" s="24">
        <f>D86*E86</f>
        <v>0</v>
      </c>
      <c r="G86" s="19">
        <f t="shared" ref="G86:G95" si="36">D86*M86</f>
        <v>0</v>
      </c>
      <c r="H86" s="24">
        <v>10000000</v>
      </c>
      <c r="I86" s="19">
        <f>G86+H86</f>
        <v>10000000</v>
      </c>
      <c r="J86" s="19">
        <f t="shared" ref="J86:J95" si="37">F86-I86</f>
        <v>-10000000</v>
      </c>
      <c r="K86" s="36" t="str">
        <f t="shared" ref="K86:K91" si="38">IFERROR(F86-F85,"")</f>
        <v/>
      </c>
      <c r="L86" s="36" t="e">
        <f t="shared" ref="L86:L95" si="39">I86/D86</f>
        <v>#DIV/0!</v>
      </c>
      <c r="M86" s="37">
        <v>0.2</v>
      </c>
      <c r="N86" s="26" t="str">
        <f>IF(AND(K86&gt;M86,K87&lt;M87),"&lt;-- P ~ MC","")</f>
        <v/>
      </c>
      <c r="O86" s="2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</row>
    <row r="87" spans="3:40" ht="15" thickBot="1" x14ac:dyDescent="0.4">
      <c r="D87" s="35">
        <f>D86+1</f>
        <v>1</v>
      </c>
      <c r="E87" s="35">
        <f>E86-1</f>
        <v>7</v>
      </c>
      <c r="F87" s="24">
        <f t="shared" ref="F87:F95" si="40">D87*E87</f>
        <v>7</v>
      </c>
      <c r="G87" s="19">
        <f t="shared" si="36"/>
        <v>0.2</v>
      </c>
      <c r="H87" s="24">
        <f>H86</f>
        <v>10000000</v>
      </c>
      <c r="I87" s="19">
        <f t="shared" ref="I87:I95" si="41">G87+H87</f>
        <v>10000000.199999999</v>
      </c>
      <c r="J87" s="19">
        <f t="shared" si="37"/>
        <v>-9999993.1999999993</v>
      </c>
      <c r="K87" s="36">
        <f t="shared" si="38"/>
        <v>7</v>
      </c>
      <c r="L87" s="36">
        <f t="shared" si="39"/>
        <v>10000000.199999999</v>
      </c>
      <c r="M87" s="37">
        <f>M86</f>
        <v>0.2</v>
      </c>
      <c r="N87" s="26" t="str">
        <f>IF(AND(K87&gt;M87,K88&lt;M88),"&lt;-- P ~ MC","")</f>
        <v/>
      </c>
      <c r="O87" s="26">
        <f>(D87+D86)/2</f>
        <v>0.5</v>
      </c>
    </row>
    <row r="88" spans="3:40" ht="15" thickBot="1" x14ac:dyDescent="0.4">
      <c r="D88" s="35">
        <f t="shared" ref="D88:D95" si="42">D87+1</f>
        <v>2</v>
      </c>
      <c r="E88" s="35">
        <f t="shared" ref="E88:E95" si="43">E87-1</f>
        <v>6</v>
      </c>
      <c r="F88" s="24">
        <f t="shared" si="40"/>
        <v>12</v>
      </c>
      <c r="G88" s="19">
        <f t="shared" si="36"/>
        <v>0.4</v>
      </c>
      <c r="H88" s="24">
        <f t="shared" ref="H88:H95" si="44">H87</f>
        <v>10000000</v>
      </c>
      <c r="I88" s="19">
        <f t="shared" si="41"/>
        <v>10000000.4</v>
      </c>
      <c r="J88" s="19">
        <f t="shared" si="37"/>
        <v>-9999988.4000000004</v>
      </c>
      <c r="K88" s="36">
        <f t="shared" si="38"/>
        <v>5</v>
      </c>
      <c r="L88" s="36">
        <f t="shared" si="39"/>
        <v>5000000.2</v>
      </c>
      <c r="M88" s="37">
        <f t="shared" ref="M88:M95" si="45">M87</f>
        <v>0.2</v>
      </c>
      <c r="N88" s="26" t="str">
        <f>IF(AND(K88&gt;M88,K89&lt;M89),"&lt;-- P ~ MC","")</f>
        <v/>
      </c>
      <c r="O88" s="26">
        <f>(D88+D87)/2</f>
        <v>1.5</v>
      </c>
    </row>
    <row r="89" spans="3:40" ht="15" thickBot="1" x14ac:dyDescent="0.4">
      <c r="D89" s="35">
        <f t="shared" si="42"/>
        <v>3</v>
      </c>
      <c r="E89" s="35">
        <f t="shared" si="43"/>
        <v>5</v>
      </c>
      <c r="F89" s="24">
        <f t="shared" si="40"/>
        <v>15</v>
      </c>
      <c r="G89" s="19">
        <f t="shared" si="36"/>
        <v>0.60000000000000009</v>
      </c>
      <c r="H89" s="24">
        <f t="shared" si="44"/>
        <v>10000000</v>
      </c>
      <c r="I89" s="19">
        <f t="shared" si="41"/>
        <v>10000000.6</v>
      </c>
      <c r="J89" s="19">
        <f t="shared" si="37"/>
        <v>-9999985.5999999996</v>
      </c>
      <c r="K89" s="36">
        <f t="shared" si="38"/>
        <v>3</v>
      </c>
      <c r="L89" s="36">
        <f t="shared" si="39"/>
        <v>3333333.5333333332</v>
      </c>
      <c r="M89" s="37">
        <f t="shared" si="45"/>
        <v>0.2</v>
      </c>
      <c r="N89" s="26" t="str">
        <f>IF(AND(K89&gt;M89,K90&lt;M90),"&lt;-- P ~ MC","")</f>
        <v/>
      </c>
      <c r="O89" s="26">
        <f>(D89+D88)/2</f>
        <v>2.5</v>
      </c>
    </row>
    <row r="90" spans="3:40" ht="15" thickBot="1" x14ac:dyDescent="0.4">
      <c r="D90" s="35">
        <f t="shared" si="42"/>
        <v>4</v>
      </c>
      <c r="E90" s="35">
        <f t="shared" si="43"/>
        <v>4</v>
      </c>
      <c r="F90" s="24">
        <f t="shared" si="40"/>
        <v>16</v>
      </c>
      <c r="G90" s="19">
        <f t="shared" si="36"/>
        <v>0.8</v>
      </c>
      <c r="H90" s="24">
        <f t="shared" si="44"/>
        <v>10000000</v>
      </c>
      <c r="I90" s="19">
        <f t="shared" si="41"/>
        <v>10000000.800000001</v>
      </c>
      <c r="J90" s="19">
        <f t="shared" si="37"/>
        <v>-9999984.8000000007</v>
      </c>
      <c r="K90" s="36">
        <f t="shared" si="38"/>
        <v>1</v>
      </c>
      <c r="L90" s="36">
        <f t="shared" si="39"/>
        <v>2500000.2000000002</v>
      </c>
      <c r="M90" s="37">
        <f t="shared" si="45"/>
        <v>0.2</v>
      </c>
      <c r="N90" s="26" t="s">
        <v>48</v>
      </c>
      <c r="O90" s="26">
        <f t="shared" ref="O90:O95" si="46">(D90+D89)/2</f>
        <v>3.5</v>
      </c>
    </row>
    <row r="91" spans="3:40" ht="15" thickBot="1" x14ac:dyDescent="0.4">
      <c r="D91" s="25">
        <f>AVERAGE(D90,D92)</f>
        <v>4.5</v>
      </c>
      <c r="E91" s="25">
        <f>AVERAGE(E90,E92)</f>
        <v>3.5</v>
      </c>
      <c r="F91" s="24">
        <f t="shared" si="40"/>
        <v>15.75</v>
      </c>
      <c r="G91" s="19">
        <f t="shared" si="36"/>
        <v>0.9</v>
      </c>
      <c r="H91" s="24">
        <f>H90</f>
        <v>10000000</v>
      </c>
      <c r="I91" s="19">
        <f>G91+H91</f>
        <v>10000000.9</v>
      </c>
      <c r="J91" s="19">
        <f t="shared" si="37"/>
        <v>-9999985.1500000004</v>
      </c>
      <c r="K91" s="36">
        <f t="shared" si="38"/>
        <v>-0.25</v>
      </c>
      <c r="L91" s="36">
        <f t="shared" si="39"/>
        <v>2222222.4222222222</v>
      </c>
      <c r="M91" s="37">
        <f>M90</f>
        <v>0.2</v>
      </c>
      <c r="N91" s="26" t="s">
        <v>48</v>
      </c>
      <c r="O91" s="26">
        <f>(D91+D90)/2</f>
        <v>4.25</v>
      </c>
    </row>
    <row r="92" spans="3:40" ht="15" thickBot="1" x14ac:dyDescent="0.4">
      <c r="D92" s="35">
        <f>D90+1</f>
        <v>5</v>
      </c>
      <c r="E92" s="35">
        <f>E90-1</f>
        <v>3</v>
      </c>
      <c r="F92" s="24">
        <f t="shared" si="40"/>
        <v>15</v>
      </c>
      <c r="G92" s="19">
        <f t="shared" si="36"/>
        <v>1</v>
      </c>
      <c r="H92" s="24">
        <f>H90</f>
        <v>10000000</v>
      </c>
      <c r="I92" s="19">
        <f t="shared" si="41"/>
        <v>10000001</v>
      </c>
      <c r="J92" s="19">
        <f t="shared" si="37"/>
        <v>-9999986</v>
      </c>
      <c r="K92" s="36">
        <f>IFERROR(F92-F90,"")</f>
        <v>-1</v>
      </c>
      <c r="L92" s="36">
        <f t="shared" si="39"/>
        <v>2000000.2</v>
      </c>
      <c r="M92" s="37">
        <f>M90</f>
        <v>0.2</v>
      </c>
      <c r="N92" s="26" t="str">
        <f>IF(AND(K92&gt;M92,K93&lt;M93),"&lt;-- P ~ MC","")</f>
        <v/>
      </c>
      <c r="O92" s="26">
        <f>(D92+D90)/2</f>
        <v>4.5</v>
      </c>
    </row>
    <row r="93" spans="3:40" ht="15" thickBot="1" x14ac:dyDescent="0.4">
      <c r="D93" s="35">
        <f t="shared" si="42"/>
        <v>6</v>
      </c>
      <c r="E93" s="35">
        <f t="shared" si="43"/>
        <v>2</v>
      </c>
      <c r="F93" s="24">
        <f t="shared" si="40"/>
        <v>12</v>
      </c>
      <c r="G93" s="19">
        <f t="shared" si="36"/>
        <v>1.2000000000000002</v>
      </c>
      <c r="H93" s="24">
        <f t="shared" si="44"/>
        <v>10000000</v>
      </c>
      <c r="I93" s="19">
        <f t="shared" si="41"/>
        <v>10000001.199999999</v>
      </c>
      <c r="J93" s="19">
        <f t="shared" si="37"/>
        <v>-9999989.1999999993</v>
      </c>
      <c r="K93" s="36">
        <f>IFERROR(F93-F92,"")</f>
        <v>-3</v>
      </c>
      <c r="L93" s="36">
        <f t="shared" si="39"/>
        <v>1666666.8666666665</v>
      </c>
      <c r="M93" s="37">
        <f t="shared" si="45"/>
        <v>0.2</v>
      </c>
      <c r="N93" s="26" t="str">
        <f>IF(AND(K93&gt;M93,K94&lt;M94),"&lt;-- P ~ MC","")</f>
        <v/>
      </c>
      <c r="O93" s="26">
        <f t="shared" si="46"/>
        <v>5.5</v>
      </c>
    </row>
    <row r="94" spans="3:40" ht="15" thickBot="1" x14ac:dyDescent="0.4">
      <c r="D94" s="35">
        <f t="shared" si="42"/>
        <v>7</v>
      </c>
      <c r="E94" s="35">
        <f t="shared" si="43"/>
        <v>1</v>
      </c>
      <c r="F94" s="24">
        <f t="shared" si="40"/>
        <v>7</v>
      </c>
      <c r="G94" s="19">
        <f t="shared" si="36"/>
        <v>1.4000000000000001</v>
      </c>
      <c r="H94" s="24">
        <f t="shared" si="44"/>
        <v>10000000</v>
      </c>
      <c r="I94" s="19">
        <f t="shared" si="41"/>
        <v>10000001.4</v>
      </c>
      <c r="J94" s="19">
        <f t="shared" si="37"/>
        <v>-9999994.4000000004</v>
      </c>
      <c r="K94" s="36">
        <f>IFERROR(F94-F93,"")</f>
        <v>-5</v>
      </c>
      <c r="L94" s="36">
        <f t="shared" si="39"/>
        <v>1428571.6285714286</v>
      </c>
      <c r="M94" s="37">
        <f t="shared" si="45"/>
        <v>0.2</v>
      </c>
      <c r="N94" s="26" t="str">
        <f>IF(AND(K94&gt;M94,K95&lt;M95),"&lt;-- P ~ MC","")</f>
        <v/>
      </c>
      <c r="O94" s="26">
        <f t="shared" si="46"/>
        <v>6.5</v>
      </c>
    </row>
    <row r="95" spans="3:40" ht="15" thickBot="1" x14ac:dyDescent="0.4">
      <c r="D95" s="35">
        <f t="shared" si="42"/>
        <v>8</v>
      </c>
      <c r="E95" s="35">
        <f t="shared" si="43"/>
        <v>0</v>
      </c>
      <c r="F95" s="24">
        <f t="shared" si="40"/>
        <v>0</v>
      </c>
      <c r="G95" s="19">
        <f t="shared" si="36"/>
        <v>1.6</v>
      </c>
      <c r="H95" s="24">
        <f t="shared" si="44"/>
        <v>10000000</v>
      </c>
      <c r="I95" s="19">
        <f t="shared" si="41"/>
        <v>10000001.6</v>
      </c>
      <c r="J95" s="19">
        <f t="shared" si="37"/>
        <v>-10000001.6</v>
      </c>
      <c r="K95" s="36">
        <f>IFERROR(F95-F94,"")</f>
        <v>-7</v>
      </c>
      <c r="L95" s="36">
        <f t="shared" si="39"/>
        <v>1250000.2</v>
      </c>
      <c r="M95" s="37">
        <f t="shared" si="45"/>
        <v>0.2</v>
      </c>
      <c r="N95" s="26" t="str">
        <f>IF(AND(K95&gt;M95,K96&lt;M96),"&lt;-- P ~ MC","")</f>
        <v/>
      </c>
      <c r="O95" s="26">
        <f t="shared" si="46"/>
        <v>7.5</v>
      </c>
    </row>
    <row r="96" spans="3:40" ht="15" thickBot="1" x14ac:dyDescent="0.4">
      <c r="D96" s="35"/>
      <c r="E96" s="35"/>
      <c r="F96" s="24"/>
      <c r="G96" s="19"/>
      <c r="H96" s="24"/>
      <c r="I96" s="19"/>
      <c r="J96" s="19"/>
      <c r="K96" s="36"/>
      <c r="L96" s="36"/>
      <c r="M96" s="37"/>
      <c r="N96" s="26"/>
      <c r="O96" s="26"/>
    </row>
    <row r="97" spans="4:15" ht="15" thickBot="1" x14ac:dyDescent="0.4">
      <c r="D97" s="35"/>
      <c r="E97" s="35"/>
      <c r="F97" s="24"/>
      <c r="G97" s="19"/>
      <c r="H97" s="24"/>
      <c r="I97" s="19"/>
      <c r="J97" s="19"/>
      <c r="K97" s="36"/>
      <c r="L97" s="36"/>
      <c r="M97" s="37"/>
      <c r="N97" s="26"/>
      <c r="O97" s="26"/>
    </row>
    <row r="98" spans="4:15" ht="15" thickBot="1" x14ac:dyDescent="0.4">
      <c r="D98" s="35"/>
      <c r="E98" s="35"/>
      <c r="F98" s="24"/>
      <c r="G98" s="19"/>
      <c r="H98" s="24"/>
      <c r="I98" s="19"/>
      <c r="J98" s="19"/>
      <c r="K98" s="36"/>
      <c r="L98" s="36"/>
      <c r="M98" s="37"/>
      <c r="N98" s="26"/>
      <c r="O98" s="26"/>
    </row>
    <row r="99" spans="4:15" ht="15" thickBot="1" x14ac:dyDescent="0.4">
      <c r="D99" s="35"/>
      <c r="E99" s="35"/>
      <c r="F99" s="24"/>
      <c r="G99" s="19"/>
      <c r="H99" s="24"/>
      <c r="I99" s="19"/>
      <c r="J99" s="19"/>
      <c r="K99" s="36"/>
      <c r="L99" s="36"/>
      <c r="M99" s="37"/>
      <c r="N99" s="26"/>
      <c r="O99" s="26"/>
    </row>
    <row r="100" spans="4:15" ht="15" thickBot="1" x14ac:dyDescent="0.4">
      <c r="D100" s="35"/>
      <c r="E100" s="35"/>
      <c r="F100" s="24"/>
      <c r="G100" s="19"/>
      <c r="H100" s="24"/>
      <c r="I100" s="19"/>
      <c r="J100" s="19"/>
      <c r="K100" s="36"/>
      <c r="L100" s="36"/>
      <c r="M100" s="37"/>
      <c r="N100" s="26"/>
      <c r="O100" s="26"/>
    </row>
    <row r="101" spans="4:15" ht="15" thickBot="1" x14ac:dyDescent="0.4">
      <c r="D101" s="35"/>
      <c r="E101" s="35"/>
      <c r="F101" s="24"/>
      <c r="G101" s="19"/>
      <c r="H101" s="24"/>
      <c r="I101" s="19"/>
      <c r="J101" s="19"/>
      <c r="K101" s="36"/>
      <c r="L101" s="36"/>
      <c r="M101" s="37"/>
      <c r="N101" s="26"/>
      <c r="O101" s="26"/>
    </row>
    <row r="102" spans="4:15" ht="15" thickBot="1" x14ac:dyDescent="0.4">
      <c r="D102" s="35"/>
      <c r="E102" s="35"/>
      <c r="F102" s="24"/>
      <c r="G102" s="19"/>
      <c r="H102" s="24"/>
      <c r="I102" s="19"/>
      <c r="J102" s="19"/>
      <c r="K102" s="36"/>
      <c r="L102" s="36"/>
      <c r="M102" s="37"/>
      <c r="N102" s="26"/>
      <c r="O102" s="26"/>
    </row>
    <row r="103" spans="4:15" ht="15" thickBot="1" x14ac:dyDescent="0.4">
      <c r="D103" s="35"/>
      <c r="E103" s="35"/>
      <c r="F103" s="24"/>
      <c r="G103" s="19"/>
      <c r="H103" s="24"/>
      <c r="I103" s="19"/>
      <c r="J103" s="19"/>
      <c r="K103" s="36"/>
      <c r="L103" s="36"/>
      <c r="M103" s="37"/>
      <c r="N103" s="26"/>
      <c r="O103" s="26"/>
    </row>
    <row r="104" spans="4:15" ht="15" thickBot="1" x14ac:dyDescent="0.4">
      <c r="D104" s="35"/>
      <c r="E104" s="35"/>
      <c r="F104" s="24"/>
      <c r="G104" s="19"/>
      <c r="H104" s="24"/>
      <c r="I104" s="19"/>
      <c r="J104" s="19"/>
      <c r="K104" s="36"/>
      <c r="L104" s="36"/>
      <c r="M104" s="37"/>
      <c r="N104" s="26"/>
      <c r="O104" s="26"/>
    </row>
    <row r="105" spans="4:15" ht="15" thickBot="1" x14ac:dyDescent="0.4">
      <c r="D105" s="35"/>
      <c r="E105" s="35"/>
      <c r="F105" s="24"/>
      <c r="G105" s="19"/>
      <c r="H105" s="24"/>
      <c r="I105" s="19"/>
      <c r="J105" s="19"/>
      <c r="K105" s="36"/>
      <c r="L105" s="36"/>
      <c r="M105" s="37"/>
      <c r="N105" s="26"/>
      <c r="O105" s="26"/>
    </row>
    <row r="106" spans="4:15" ht="15" thickBot="1" x14ac:dyDescent="0.4">
      <c r="D106" s="35"/>
      <c r="E106" s="35"/>
      <c r="F106" s="24"/>
      <c r="G106" s="19"/>
      <c r="H106" s="24"/>
      <c r="I106" s="19"/>
      <c r="J106" s="19"/>
      <c r="K106" s="36"/>
      <c r="L106" s="36"/>
      <c r="M106" s="37"/>
      <c r="N106" s="26"/>
      <c r="O106" s="26"/>
    </row>
  </sheetData>
  <conditionalFormatting sqref="D38:E58">
    <cfRule type="expression" dxfId="8" priority="14">
      <formula>$D38=$D$20</formula>
    </cfRule>
  </conditionalFormatting>
  <conditionalFormatting sqref="D62:E82">
    <cfRule type="expression" dxfId="7" priority="5">
      <formula>$D62=$D$20</formula>
    </cfRule>
  </conditionalFormatting>
  <conditionalFormatting sqref="D86:E106">
    <cfRule type="expression" dxfId="6" priority="10">
      <formula>$D86=$D$20</formula>
    </cfRule>
  </conditionalFormatting>
  <conditionalFormatting sqref="F38:F43">
    <cfRule type="expression" dxfId="5" priority="11">
      <formula>$D38=q_tomato</formula>
    </cfRule>
  </conditionalFormatting>
  <conditionalFormatting sqref="F62:F67">
    <cfRule type="expression" dxfId="4" priority="3">
      <formula>$D62=q_tomato</formula>
    </cfRule>
  </conditionalFormatting>
  <conditionalFormatting sqref="G18">
    <cfRule type="expression" dxfId="3" priority="15">
      <formula>$G$18&gt;#REF!</formula>
    </cfRule>
  </conditionalFormatting>
  <conditionalFormatting sqref="G38:J43 F44:J58 F86:K106 G62:J67 F68:J82 D25:I35">
    <cfRule type="expression" dxfId="2" priority="13">
      <formula>$D25=q_tomato</formula>
    </cfRule>
  </conditionalFormatting>
  <conditionalFormatting sqref="J38:J5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J10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8:K58">
    <cfRule type="expression" dxfId="1" priority="6">
      <formula>$D38=q_tomato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:K82">
    <cfRule type="expression" dxfId="0" priority="1">
      <formula>$D62=q_tomato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6:K10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102</vt:i4>
      </vt:variant>
    </vt:vector>
  </HeadingPairs>
  <TitlesOfParts>
    <vt:vector size="111" baseType="lpstr">
      <vt:lpstr>F 8</vt:lpstr>
      <vt:lpstr>ST 6.3</vt:lpstr>
      <vt:lpstr>E 6.3</vt:lpstr>
      <vt:lpstr>Sheet1</vt:lpstr>
      <vt:lpstr>Corn</vt:lpstr>
      <vt:lpstr>Corn (GMO)</vt:lpstr>
      <vt:lpstr>Corn (Roundup)</vt:lpstr>
      <vt:lpstr>xxGMO Corn</vt:lpstr>
      <vt:lpstr>xxGMO Corn (2)</vt:lpstr>
      <vt:lpstr>'E 6.3'!aD</vt:lpstr>
      <vt:lpstr>'ST 6.3'!aD</vt:lpstr>
      <vt:lpstr>'E 6.3'!aMC</vt:lpstr>
      <vt:lpstr>'ST 6.3'!aMC</vt:lpstr>
      <vt:lpstr>'E 6.3'!aMR</vt:lpstr>
      <vt:lpstr>'ST 6.3'!aMR</vt:lpstr>
      <vt:lpstr>atc</vt:lpstr>
      <vt:lpstr>'E 6.3'!bD</vt:lpstr>
      <vt:lpstr>'ST 6.3'!bD</vt:lpstr>
      <vt:lpstr>'E 6.3'!bMC</vt:lpstr>
      <vt:lpstr>'ST 6.3'!bMC</vt:lpstr>
      <vt:lpstr>'E 6.3'!bMR</vt:lpstr>
      <vt:lpstr>'ST 6.3'!bMR</vt:lpstr>
      <vt:lpstr>corn_aQ</vt:lpstr>
      <vt:lpstr>corn_bQ2</vt:lpstr>
      <vt:lpstr>corn_D</vt:lpstr>
      <vt:lpstr>corn_D_int</vt:lpstr>
      <vt:lpstr>corn_D_slope</vt:lpstr>
      <vt:lpstr>corn_FC</vt:lpstr>
      <vt:lpstr>corn_MC</vt:lpstr>
      <vt:lpstr>corn_MC_intercept</vt:lpstr>
      <vt:lpstr>corn_MC_optimal</vt:lpstr>
      <vt:lpstr>corn_MC_slope</vt:lpstr>
      <vt:lpstr>corn_MR</vt:lpstr>
      <vt:lpstr>corn_MR_int</vt:lpstr>
      <vt:lpstr>corn_MR_slope</vt:lpstr>
      <vt:lpstr>corn_Output_optimal</vt:lpstr>
      <vt:lpstr>corn_P</vt:lpstr>
      <vt:lpstr>corn_Profit</vt:lpstr>
      <vt:lpstr>corn_Q</vt:lpstr>
      <vt:lpstr>corn_Revenue</vt:lpstr>
      <vt:lpstr>corn_Revenue_optimal</vt:lpstr>
      <vt:lpstr>corn_TC</vt:lpstr>
      <vt:lpstr>corn_TC_optimal</vt:lpstr>
      <vt:lpstr>corn_VC</vt:lpstr>
      <vt:lpstr>'Corn (GMO)'!cornGMO_aQ</vt:lpstr>
      <vt:lpstr>'Corn (Roundup)'!cornGMO_aQ</vt:lpstr>
      <vt:lpstr>'Corn (Roundup)'!cornGMO_ATC</vt:lpstr>
      <vt:lpstr>'Corn (GMO)'!cornGMO_bQ2</vt:lpstr>
      <vt:lpstr>'Corn (Roundup)'!cornGMO_bQ2</vt:lpstr>
      <vt:lpstr>'Corn (Roundup)'!cornGMO_D</vt:lpstr>
      <vt:lpstr>cornGMO_D</vt:lpstr>
      <vt:lpstr>'Corn (Roundup)'!cornGMO_D_int</vt:lpstr>
      <vt:lpstr>cornGMO_D_int</vt:lpstr>
      <vt:lpstr>'Corn (Roundup)'!cornGMO_D_slope</vt:lpstr>
      <vt:lpstr>cornGMO_D_slope</vt:lpstr>
      <vt:lpstr>Corn!cornGMO_FC</vt:lpstr>
      <vt:lpstr>'Corn (GMO)'!cornGMO_FC</vt:lpstr>
      <vt:lpstr>'Corn (Roundup)'!cornGMO_FC</vt:lpstr>
      <vt:lpstr>'Corn (GMO)'!cornGMO_MC</vt:lpstr>
      <vt:lpstr>'Corn (Roundup)'!cornGMO_MC</vt:lpstr>
      <vt:lpstr>'Corn (GMO)'!cornGMO_MC_intercept</vt:lpstr>
      <vt:lpstr>'Corn (Roundup)'!cornGMO_MC_intercept</vt:lpstr>
      <vt:lpstr>'Corn (GMO)'!cornGMO_MC_optimal</vt:lpstr>
      <vt:lpstr>'Corn (Roundup)'!cornGMO_MC_optimal</vt:lpstr>
      <vt:lpstr>'Corn (GMO)'!cornGMO_MC_slope</vt:lpstr>
      <vt:lpstr>'Corn (Roundup)'!cornGMO_MC_slope</vt:lpstr>
      <vt:lpstr>'Corn (GMO)'!cornGMO_MR</vt:lpstr>
      <vt:lpstr>'Corn (Roundup)'!cornGMO_MR</vt:lpstr>
      <vt:lpstr>'Corn (Roundup)'!cornGMO_MR_int</vt:lpstr>
      <vt:lpstr>cornGMO_MR_int</vt:lpstr>
      <vt:lpstr>'Corn (Roundup)'!cornGMO_MR_slope</vt:lpstr>
      <vt:lpstr>cornGMO_MR_slope</vt:lpstr>
      <vt:lpstr>Corn!cornGMO_Output_optimal</vt:lpstr>
      <vt:lpstr>'Corn (GMO)'!cornGMO_Output_optimal</vt:lpstr>
      <vt:lpstr>'Corn (Roundup)'!cornGMO_Output_optimal</vt:lpstr>
      <vt:lpstr>'Corn (GMO)'!cornGMO_P</vt:lpstr>
      <vt:lpstr>'Corn (Roundup)'!cornGMO_P</vt:lpstr>
      <vt:lpstr>cornGMO_P_optimal</vt:lpstr>
      <vt:lpstr>'Corn (GMO)'!cornGMO_Profit</vt:lpstr>
      <vt:lpstr>'Corn (Roundup)'!cornGMO_Profit</vt:lpstr>
      <vt:lpstr>Corn!cornGMO_Q</vt:lpstr>
      <vt:lpstr>'Corn (GMO)'!cornGMO_Q</vt:lpstr>
      <vt:lpstr>'Corn (Roundup)'!cornGMO_Q</vt:lpstr>
      <vt:lpstr>'Corn (GMO)'!cornGMO_Revenue</vt:lpstr>
      <vt:lpstr>'Corn (Roundup)'!cornGMO_Revenue</vt:lpstr>
      <vt:lpstr>'Corn (GMO)'!cornGMO_Revenue_optimal</vt:lpstr>
      <vt:lpstr>'Corn (Roundup)'!cornGMO_Revenue_optimal</vt:lpstr>
      <vt:lpstr>'Corn (GMO)'!cornGMO_TC</vt:lpstr>
      <vt:lpstr>'Corn (Roundup)'!cornGMO_TC</vt:lpstr>
      <vt:lpstr>'Corn (GMO)'!cornGMO_TC_optimal</vt:lpstr>
      <vt:lpstr>'Corn (Roundup)'!cornGMO_TC_optimal</vt:lpstr>
      <vt:lpstr>'Corn (GMO)'!cornGMO_VC</vt:lpstr>
      <vt:lpstr>'Corn (Roundup)'!cornGMO_VC</vt:lpstr>
      <vt:lpstr>'E 6.3'!costs</vt:lpstr>
      <vt:lpstr>costs</vt:lpstr>
      <vt:lpstr>'E 6.3'!costs_marg</vt:lpstr>
      <vt:lpstr>costs_marg</vt:lpstr>
      <vt:lpstr>costs_total</vt:lpstr>
      <vt:lpstr>'E 6.3'!price</vt:lpstr>
      <vt:lpstr>'ST 6.3'!price</vt:lpstr>
      <vt:lpstr>price</vt:lpstr>
      <vt:lpstr>'E 6.3'!q</vt:lpstr>
      <vt:lpstr>'ST 6.3'!q</vt:lpstr>
      <vt:lpstr>q</vt:lpstr>
      <vt:lpstr>'E 6.3'!q_prime</vt:lpstr>
      <vt:lpstr>'ST 6.3'!q_prime</vt:lpstr>
      <vt:lpstr>'E 6.3'!rev</vt:lpstr>
      <vt:lpstr>rev</vt:lpstr>
      <vt:lpstr>revenue</vt:lpstr>
      <vt:lpstr>Corn!slope_GMO_Corn</vt:lpstr>
      <vt:lpstr>slope_GMO_Corn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Stauffer</dc:creator>
  <cp:lastModifiedBy>Adam Stauffer</cp:lastModifiedBy>
  <dcterms:created xsi:type="dcterms:W3CDTF">2023-09-16T15:36:43Z</dcterms:created>
  <dcterms:modified xsi:type="dcterms:W3CDTF">2026-07-07T12:35:25Z</dcterms:modified>
</cp:coreProperties>
</file>