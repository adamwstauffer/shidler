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nGMO Perfect" sheetId="2" state="visible" r:id="rId4"/>
    <sheet name="GMO Monopoly" sheetId="3" state="visible" r:id="rId5"/>
  </sheets>
  <definedNames>
    <definedName function="false" hidden="false" name="g_a" vbProcedure="false">'GMO Monopoly'!$C$7</definedName>
    <definedName function="false" hidden="false" name="g_b" vbProcedure="false">'GMO Monopoly'!$C$8</definedName>
    <definedName function="false" hidden="false" name="g_Di" vbProcedure="false">'GMO Monopoly'!$C$5</definedName>
    <definedName function="false" hidden="false" name="g_Ds" vbProcedure="false">'GMO Monopoly'!$C$6</definedName>
    <definedName function="false" hidden="false" name="g_FC" vbProcedure="false">'GMO Monopoly'!$C$9</definedName>
    <definedName function="false" hidden="false" name="g_Popt" vbProcedure="false">'GMO Monopoly'!$C$18</definedName>
    <definedName function="false" hidden="false" name="g_Qopt" vbProcedure="false">'GMO Monopoly'!$C$17</definedName>
    <definedName function="false" hidden="false" name="ng_a" vbProcedure="false">'NonGMO Perfect'!$C$6</definedName>
    <definedName function="false" hidden="false" name="ng_b" vbProcedure="false">'NonGMO Perfect'!$C$7</definedName>
    <definedName function="false" hidden="false" name="ng_FC" vbProcedure="false">'NonGMO Perfect'!$C$8</definedName>
    <definedName function="false" hidden="false" name="ng_P" vbProcedure="false">'NonGMO Perfect'!$C$5</definedName>
    <definedName function="false" hidden="false" name="ng_Qopt" vbProcedure="false">'NonGMO Perfect'!$C$12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<sst xmlns="http://schemas.openxmlformats.org/spreadsheetml/2006/main" count="106" uniqueCount="82">
  <si>
    <t xml:space="preserve">Monsanto Seed Market — Perfect vs Imperfect Competition</t>
  </si>
  <si>
    <t xml:space="preserve">BUS 620 · Micro &amp; Macro Economics · Shidler College of Business</t>
  </si>
  <si>
    <t xml:space="preserve">Two sheets, one company, two market structures. 'NonGMO Perfect': Monsanto sells commodity corn seed at the market price ($120/bag) — a price taker, P = MC. 'GMO Monopoly': patented Roundup Ready corn gives downward-sloping demand — now selling one more bag lowers the price on every bag, so marginal revenue falls twice as fast as demand, and the rule becomes MR = MC.</t>
  </si>
  <si>
    <t xml:space="preserve">HOW TO USE</t>
  </si>
  <si>
    <t xml:space="preserve">1. Blue cells are inputs; black cells are formulas. Yellow cells are the answers you compute (the instructor key has them filled).</t>
  </si>
  <si>
    <t xml:space="preserve">2. Cost structure on both sheets: TVC = a·Q + b·Q², so MC = a + 2b·Q. Variable cost is the AREA UNDER the MC curve — never MC × Q. (The old v9 workbook made exactly that error and understated GMO profit by ~$1.1bn.)</t>
  </si>
  <si>
    <t xml:space="preserve">3. On the GMO sheet, derive MR from demand (same intercept, twice the slope), set MR = MC for Q*, then read P* off the DEMAND curve — not off MR. Reading price off MR is the classic mistake.</t>
  </si>
  <si>
    <t xml:space="preserve">4. The decision tables tabulate every quantity so you can SEE the marker row where the optimum lives; the charts plot D, MR, and MC.</t>
  </si>
  <si>
    <t xml:space="preserve">5. Compare: competitive GMO benchmark (P = MC) gives Q ≈ 60.2m bags at ~$121 — almost exactly the non-GMO price. Monopoly cuts output to ~34.0m, prices at ~$297, and society loses ~$3.0bn of surplus (the DWL block).</t>
  </si>
  <si>
    <t xml:space="preserve">REAL-WORLD ANCHORS (validated 2026-07; see project README.md for sources)</t>
  </si>
  <si>
    <t xml:space="preserve">GMO corn seed ≈ $250–305/bag vs non-GMO ≈ $85–150 (case uses $270 vs $120; the $150 trait premium is mid-range). A bag = 80,000 kernels ≈ 2.5 acres. Monsanto traits were planted on ~80% of U.S. corn and 90%+ of soybean acres. Bayer closed its $63bn acquisition June 2018 after the largest U.S. antitrust divestiture ever (~$9bn to BASF).</t>
  </si>
  <si>
    <t xml:space="preserve">MODEL NOTE</t>
  </si>
  <si>
    <t xml:space="preserve">The case docx quotes MC = 0.000029·Q (non-GMO) and 0.00000196·Q (GMO). Those were regression artifacts of the old workbook's tables. This workbook defines TVC = a·Q + b·Q² directly (a = $1, b = 0.000015 and 0.000001) so MC, totals, and optima are exactly self-consistent.</t>
  </si>
  <si>
    <t xml:space="preserve">COLOR KEY</t>
  </si>
  <si>
    <t xml:space="preserve">Blue text = input you can change</t>
  </si>
  <si>
    <t xml:space="preserve">Black text = formula (do not overtype)</t>
  </si>
  <si>
    <t xml:space="preserve">Yellow fill = answer cells you complete (filled in the instructor key)</t>
  </si>
  <si>
    <t xml:space="preserve">Non-GMO corn seed — perfect competition (price taker)</t>
  </si>
  <si>
    <t xml:space="preserve">ASSUMPTIONS</t>
  </si>
  <si>
    <t xml:space="preserve">Market price P ($/bag)</t>
  </si>
  <si>
    <t xml:space="preserve">flat demand: the market sets it</t>
  </si>
  <si>
    <t xml:space="preserve">MC intercept a ($/bag)</t>
  </si>
  <si>
    <t xml:space="preserve">TVC = a·Q + b·Q²  →  MC = a + 2b·Q</t>
  </si>
  <si>
    <t xml:space="preserve">MC curvature b</t>
  </si>
  <si>
    <t xml:space="preserve">diminishing returns in seed production</t>
  </si>
  <si>
    <t xml:space="preserve">Fixed costs ($)</t>
  </si>
  <si>
    <t xml:space="preserve">seeds business overhead</t>
  </si>
  <si>
    <t xml:space="preserve">Real-world anchor</t>
  </si>
  <si>
    <t xml:space="preserve">≈10m non-GMO acres ÷ 2.5 acres/bag ≈ 4.0m bags</t>
  </si>
  <si>
    <t xml:space="preserve">OPTIMAL — a price taker produces until P = MC</t>
  </si>
  <si>
    <t xml:space="preserve">Optimal output Q* (bags)</t>
  </si>
  <si>
    <t xml:space="preserve">← set P = MC and solve: Q* = (P − a) / 2b</t>
  </si>
  <si>
    <t xml:space="preserve">MC at Q*</t>
  </si>
  <si>
    <t xml:space="preserve">should equal P</t>
  </si>
  <si>
    <t xml:space="preserve">Revenue at Q*</t>
  </si>
  <si>
    <t xml:space="preserve">Variable cost (area under MC)</t>
  </si>
  <si>
    <t xml:space="preserve">NOT MC × Q</t>
  </si>
  <si>
    <t xml:space="preserve">Total cost</t>
  </si>
  <si>
    <t xml:space="preserve">Profit at Q*</t>
  </si>
  <si>
    <t xml:space="preserve">short-run; entry competes this away long-run</t>
  </si>
  <si>
    <t xml:space="preserve">DECISION TABLE</t>
  </si>
  <si>
    <t xml:space="preserve">Q bags</t>
  </si>
  <si>
    <t xml:space="preserve">P</t>
  </si>
  <si>
    <t xml:space="preserve">Revenue</t>
  </si>
  <si>
    <t xml:space="preserve">TVC</t>
  </si>
  <si>
    <t xml:space="preserve">Profit</t>
  </si>
  <si>
    <t xml:space="preserve">MR = ΔTR/ΔQ</t>
  </si>
  <si>
    <t xml:space="preserve">MC = ΔTC/ΔQ</t>
  </si>
  <si>
    <t xml:space="preserve">Note</t>
  </si>
  <si>
    <t xml:space="preserve">Q mid</t>
  </si>
  <si>
    <t xml:space="preserve">Roundup Ready GMO corn seed — patent monopoly (price maker)</t>
  </si>
  <si>
    <t xml:space="preserve">Demand intercept ($/bag)</t>
  </si>
  <si>
    <t xml:space="preserve">P = 525 − 0.0000067·Q</t>
  </si>
  <si>
    <t xml:space="preserve">Demand slope ($ per bag)</t>
  </si>
  <si>
    <t xml:space="preserve">each extra bag sold lowers the price a hair — on ALL bags</t>
  </si>
  <si>
    <t xml:space="preserve">GMO production scales better than non-GMO (b is 15× smaller)</t>
  </si>
  <si>
    <t xml:space="preserve">same seeds business overhead</t>
  </si>
  <si>
    <t xml:space="preserve">≈86m GMO acres ÷ 2.5 acres/bag ≈ 34.4m bags at ≈$270</t>
  </si>
  <si>
    <t xml:space="preserve">MARGINAL REVENUE — the twice-as-steep rule</t>
  </si>
  <si>
    <t xml:space="preserve">MR intercept</t>
  </si>
  <si>
    <t xml:space="preserve">same intercept as demand</t>
  </si>
  <si>
    <t xml:space="preserve">MR slope</t>
  </si>
  <si>
    <t xml:space="preserve">twice the demand slope: MR = 525 − 0.0000134·Q</t>
  </si>
  <si>
    <t xml:space="preserve">OPTIMAL — a price maker produces until MR = MC</t>
  </si>
  <si>
    <t xml:space="preserve">← set MR = MC: Q* = (a_D − a_MC) / (2b_MC − 2b_D)</t>
  </si>
  <si>
    <t xml:space="preserve">Price P* ($/bag)</t>
  </si>
  <si>
    <t xml:space="preserve">← read P* off the DEMAND curve, never off MR</t>
  </si>
  <si>
    <t xml:space="preserve">MR at Q*</t>
  </si>
  <si>
    <t xml:space="preserve">should equal MC at Q*</t>
  </si>
  <si>
    <t xml:space="preserve">the patent moat protects this from entry</t>
  </si>
  <si>
    <t xml:space="preserve">Markup P*/MC</t>
  </si>
  <si>
    <t xml:space="preserve">a price taker's markup is 1.0×</t>
  </si>
  <si>
    <t xml:space="preserve">Lerner index (P−MC)/P</t>
  </si>
  <si>
    <t xml:space="preserve">0 = perfect competition, →1 = pure monopoly power</t>
  </si>
  <si>
    <t xml:space="preserve">WHAT IF GMO SEED WERE COMPETITIVE? (P = MC benchmark)</t>
  </si>
  <si>
    <t xml:space="preserve">Competitive quantity Qc</t>
  </si>
  <si>
    <t xml:space="preserve">≈60.2m bags</t>
  </si>
  <si>
    <t xml:space="preserve">Competitive price Pc</t>
  </si>
  <si>
    <t xml:space="preserve">≈$121 — almost exactly the non-GMO price</t>
  </si>
  <si>
    <t xml:space="preserve">Deadweight loss of monopoly</t>
  </si>
  <si>
    <t xml:space="preserve">value destroyed, not transferred — ≈$3.0bn/yr</t>
  </si>
  <si>
    <t xml:space="preserve">P (demand)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</si>
</sst>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0.0000000"/>
    <numFmt numFmtId="168" formatCode="#,##0"/>
    <numFmt numFmtId="169" formatCode="0.0\×"/>
    <numFmt numFmtId="170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Non-GMO: P vs MC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"MC"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'NonGMO Perfect'!$K$22:$K$37</c:f>
              <c:numCache>
                <c:formatCode>#,##0</c:formatCode>
                <c:ptCount val="16"/>
                <c:pt idx="0">
                  <c:v>250000</c:v>
                </c:pt>
                <c:pt idx="1">
                  <c:v>750000</c:v>
                </c:pt>
                <c:pt idx="2">
                  <c:v>1250000</c:v>
                </c:pt>
                <c:pt idx="3">
                  <c:v>1750000</c:v>
                </c:pt>
                <c:pt idx="4">
                  <c:v>2250000</c:v>
                </c:pt>
                <c:pt idx="5">
                  <c:v>2750000</c:v>
                </c:pt>
                <c:pt idx="6">
                  <c:v>3250000</c:v>
                </c:pt>
                <c:pt idx="7">
                  <c:v>3750000</c:v>
                </c:pt>
                <c:pt idx="8">
                  <c:v>4250000</c:v>
                </c:pt>
                <c:pt idx="9">
                  <c:v>4750000</c:v>
                </c:pt>
                <c:pt idx="10">
                  <c:v>5250000</c:v>
                </c:pt>
                <c:pt idx="11">
                  <c:v>5750000</c:v>
                </c:pt>
                <c:pt idx="12">
                  <c:v>6250000</c:v>
                </c:pt>
                <c:pt idx="13">
                  <c:v>6750000</c:v>
                </c:pt>
                <c:pt idx="14">
                  <c:v>7250000</c:v>
                </c:pt>
                <c:pt idx="15">
                  <c:v>7750000</c:v>
                </c:pt>
              </c:numCache>
            </c:numRef>
          </c:xVal>
          <c:yVal>
            <c:numRef>
              <c:f>'NonGMO Perfect'!$I$22:$I$37</c:f>
              <c:numCache>
                <c:formatCode>\$#,##0.00;"($"#,##0.00\);\-</c:formatCode>
                <c:ptCount val="16"/>
                <c:pt idx="0">
                  <c:v>8.5</c:v>
                </c:pt>
                <c:pt idx="1">
                  <c:v>23.5</c:v>
                </c:pt>
                <c:pt idx="2">
                  <c:v>38.5</c:v>
                </c:pt>
                <c:pt idx="3">
                  <c:v>53.5</c:v>
                </c:pt>
                <c:pt idx="4">
                  <c:v>68.5</c:v>
                </c:pt>
                <c:pt idx="5">
                  <c:v>83.5</c:v>
                </c:pt>
                <c:pt idx="6">
                  <c:v>98.5</c:v>
                </c:pt>
                <c:pt idx="7">
                  <c:v>113.5</c:v>
                </c:pt>
                <c:pt idx="8">
                  <c:v>128.5</c:v>
                </c:pt>
                <c:pt idx="9">
                  <c:v>143.5</c:v>
                </c:pt>
                <c:pt idx="10">
                  <c:v>158.5</c:v>
                </c:pt>
                <c:pt idx="11">
                  <c:v>173.5</c:v>
                </c:pt>
                <c:pt idx="12">
                  <c:v>188.5</c:v>
                </c:pt>
                <c:pt idx="13">
                  <c:v>203.5</c:v>
                </c:pt>
                <c:pt idx="14">
                  <c:v>218.5</c:v>
                </c:pt>
                <c:pt idx="15">
                  <c:v>233.5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 = MR"</c:f>
              <c:strCache>
                <c:ptCount val="1"/>
                <c:pt idx="0">
                  <c:v>P = MR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'NonGMO Perfect'!$K$22:$K$37</c:f>
              <c:numCache>
                <c:formatCode>#,##0</c:formatCode>
                <c:ptCount val="16"/>
                <c:pt idx="0">
                  <c:v>250000</c:v>
                </c:pt>
                <c:pt idx="1">
                  <c:v>750000</c:v>
                </c:pt>
                <c:pt idx="2">
                  <c:v>1250000</c:v>
                </c:pt>
                <c:pt idx="3">
                  <c:v>1750000</c:v>
                </c:pt>
                <c:pt idx="4">
                  <c:v>2250000</c:v>
                </c:pt>
                <c:pt idx="5">
                  <c:v>2750000</c:v>
                </c:pt>
                <c:pt idx="6">
                  <c:v>3250000</c:v>
                </c:pt>
                <c:pt idx="7">
                  <c:v>3750000</c:v>
                </c:pt>
                <c:pt idx="8">
                  <c:v>4250000</c:v>
                </c:pt>
                <c:pt idx="9">
                  <c:v>4750000</c:v>
                </c:pt>
                <c:pt idx="10">
                  <c:v>5250000</c:v>
                </c:pt>
                <c:pt idx="11">
                  <c:v>5750000</c:v>
                </c:pt>
                <c:pt idx="12">
                  <c:v>6250000</c:v>
                </c:pt>
                <c:pt idx="13">
                  <c:v>6750000</c:v>
                </c:pt>
                <c:pt idx="14">
                  <c:v>7250000</c:v>
                </c:pt>
                <c:pt idx="15">
                  <c:v>7750000</c:v>
                </c:pt>
              </c:numCache>
            </c:numRef>
          </c:xVal>
          <c:yVal>
            <c:numRef>
              <c:f>'NonGMO Perfect'!$H$22:$H$37</c:f>
              <c:numCache>
                <c:formatCode>\$#,##0.00;"($"#,##0.00\);\-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1"/>
        </c:ser>
        <c:axId val="78956804"/>
        <c:axId val="4599517"/>
      </c:scatterChart>
      <c:valAx>
        <c:axId val="78956804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99517"/>
        <c:crossBetween val="midCat"/>
      </c:valAx>
      <c:valAx>
        <c:axId val="4599517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$/bag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956804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GMO: Demand, MR, MC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"Demand P(Q)"</c:f>
              <c:strCache>
                <c:ptCount val="1"/>
                <c:pt idx="0">
                  <c:v>Demand P(Q)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'GMO Monopoly'!$B$35:$B$59</c:f>
              <c:numCache>
                <c:formatCode>#,##0</c:formatCode>
                <c:ptCount val="25"/>
                <c:pt idx="0">
                  <c:v>0</c:v>
                </c:pt>
                <c:pt idx="1">
                  <c:v>2500000</c:v>
                </c:pt>
                <c:pt idx="2">
                  <c:v>5000000</c:v>
                </c:pt>
                <c:pt idx="3">
                  <c:v>7500000</c:v>
                </c:pt>
                <c:pt idx="4">
                  <c:v>10000000</c:v>
                </c:pt>
                <c:pt idx="5">
                  <c:v>12500000</c:v>
                </c:pt>
                <c:pt idx="6">
                  <c:v>15000000</c:v>
                </c:pt>
                <c:pt idx="7">
                  <c:v>17500000</c:v>
                </c:pt>
                <c:pt idx="8">
                  <c:v>20000000</c:v>
                </c:pt>
                <c:pt idx="9">
                  <c:v>22500000</c:v>
                </c:pt>
                <c:pt idx="10">
                  <c:v>25000000</c:v>
                </c:pt>
                <c:pt idx="11">
                  <c:v>27500000</c:v>
                </c:pt>
                <c:pt idx="12">
                  <c:v>30000000</c:v>
                </c:pt>
                <c:pt idx="13">
                  <c:v>32500000</c:v>
                </c:pt>
                <c:pt idx="14">
                  <c:v>35000000</c:v>
                </c:pt>
                <c:pt idx="15">
                  <c:v>37500000</c:v>
                </c:pt>
                <c:pt idx="16">
                  <c:v>40000000</c:v>
                </c:pt>
                <c:pt idx="17">
                  <c:v>42500000</c:v>
                </c:pt>
                <c:pt idx="18">
                  <c:v>45000000</c:v>
                </c:pt>
                <c:pt idx="19">
                  <c:v>47500000</c:v>
                </c:pt>
                <c:pt idx="20">
                  <c:v>50000000</c:v>
                </c:pt>
                <c:pt idx="21">
                  <c:v>52500000</c:v>
                </c:pt>
                <c:pt idx="22">
                  <c:v>55000000</c:v>
                </c:pt>
                <c:pt idx="23">
                  <c:v>57500000</c:v>
                </c:pt>
                <c:pt idx="24">
                  <c:v>60000000</c:v>
                </c:pt>
              </c:numCache>
            </c:numRef>
          </c:xVal>
          <c:yVal>
            <c:numRef>
              <c:f>'GMO Monopoly'!$C$35:$C$59</c:f>
              <c:numCache>
                <c:formatCode>\$#,##0.00;"($"#,##0.00\);\-</c:formatCode>
                <c:ptCount val="25"/>
                <c:pt idx="0">
                  <c:v>525</c:v>
                </c:pt>
                <c:pt idx="1">
                  <c:v>508.25</c:v>
                </c:pt>
                <c:pt idx="2">
                  <c:v>491.5</c:v>
                </c:pt>
                <c:pt idx="3">
                  <c:v>474.75</c:v>
                </c:pt>
                <c:pt idx="4">
                  <c:v>458</c:v>
                </c:pt>
                <c:pt idx="5">
                  <c:v>441.25</c:v>
                </c:pt>
                <c:pt idx="6">
                  <c:v>424.5</c:v>
                </c:pt>
                <c:pt idx="7">
                  <c:v>407.75</c:v>
                </c:pt>
                <c:pt idx="8">
                  <c:v>391</c:v>
                </c:pt>
                <c:pt idx="9">
                  <c:v>374.25</c:v>
                </c:pt>
                <c:pt idx="10">
                  <c:v>357.5</c:v>
                </c:pt>
                <c:pt idx="11">
                  <c:v>340.75</c:v>
                </c:pt>
                <c:pt idx="12">
                  <c:v>324</c:v>
                </c:pt>
                <c:pt idx="13">
                  <c:v>307.25</c:v>
                </c:pt>
                <c:pt idx="14">
                  <c:v>290.5</c:v>
                </c:pt>
                <c:pt idx="15">
                  <c:v>273.75</c:v>
                </c:pt>
                <c:pt idx="16">
                  <c:v>257</c:v>
                </c:pt>
                <c:pt idx="17">
                  <c:v>240.25</c:v>
                </c:pt>
                <c:pt idx="18">
                  <c:v>223.5</c:v>
                </c:pt>
                <c:pt idx="19">
                  <c:v>206.75</c:v>
                </c:pt>
                <c:pt idx="20">
                  <c:v>190</c:v>
                </c:pt>
                <c:pt idx="21">
                  <c:v>173.25</c:v>
                </c:pt>
                <c:pt idx="22">
                  <c:v>156.5</c:v>
                </c:pt>
                <c:pt idx="23">
                  <c:v>139.75</c:v>
                </c:pt>
                <c:pt idx="24">
                  <c:v>123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"MR"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'GMO Monopoly'!$K$36:$K$59</c:f>
              <c:numCache>
                <c:formatCode>#,##0</c:formatCode>
                <c:ptCount val="24"/>
                <c:pt idx="0">
                  <c:v>1250000</c:v>
                </c:pt>
                <c:pt idx="1">
                  <c:v>3750000</c:v>
                </c:pt>
                <c:pt idx="2">
                  <c:v>6250000</c:v>
                </c:pt>
                <c:pt idx="3">
                  <c:v>8750000</c:v>
                </c:pt>
                <c:pt idx="4">
                  <c:v>11250000</c:v>
                </c:pt>
                <c:pt idx="5">
                  <c:v>13750000</c:v>
                </c:pt>
                <c:pt idx="6">
                  <c:v>16250000</c:v>
                </c:pt>
                <c:pt idx="7">
                  <c:v>18750000</c:v>
                </c:pt>
                <c:pt idx="8">
                  <c:v>21250000</c:v>
                </c:pt>
                <c:pt idx="9">
                  <c:v>23750000</c:v>
                </c:pt>
                <c:pt idx="10">
                  <c:v>26250000</c:v>
                </c:pt>
                <c:pt idx="11">
                  <c:v>28750000</c:v>
                </c:pt>
                <c:pt idx="12">
                  <c:v>31250000</c:v>
                </c:pt>
                <c:pt idx="13">
                  <c:v>33750000</c:v>
                </c:pt>
                <c:pt idx="14">
                  <c:v>36250000</c:v>
                </c:pt>
                <c:pt idx="15">
                  <c:v>38750000</c:v>
                </c:pt>
                <c:pt idx="16">
                  <c:v>41250000</c:v>
                </c:pt>
                <c:pt idx="17">
                  <c:v>43750000</c:v>
                </c:pt>
                <c:pt idx="18">
                  <c:v>46250000</c:v>
                </c:pt>
                <c:pt idx="19">
                  <c:v>48750000</c:v>
                </c:pt>
                <c:pt idx="20">
                  <c:v>51250000</c:v>
                </c:pt>
                <c:pt idx="21">
                  <c:v>53750000</c:v>
                </c:pt>
                <c:pt idx="22">
                  <c:v>56250000</c:v>
                </c:pt>
                <c:pt idx="23">
                  <c:v>58750000</c:v>
                </c:pt>
              </c:numCache>
            </c:numRef>
          </c:xVal>
          <c:yVal>
            <c:numRef>
              <c:f>'GMO Monopoly'!$H$36:$H$59</c:f>
              <c:numCache>
                <c:formatCode>\$#,##0.00;"($"#,##0.00\);\-</c:formatCode>
                <c:ptCount val="24"/>
                <c:pt idx="0">
                  <c:v>508.25</c:v>
                </c:pt>
                <c:pt idx="1">
                  <c:v>474.75</c:v>
                </c:pt>
                <c:pt idx="2">
                  <c:v>441.25</c:v>
                </c:pt>
                <c:pt idx="3">
                  <c:v>407.75</c:v>
                </c:pt>
                <c:pt idx="4">
                  <c:v>374.25</c:v>
                </c:pt>
                <c:pt idx="5">
                  <c:v>340.75</c:v>
                </c:pt>
                <c:pt idx="6">
                  <c:v>307.25</c:v>
                </c:pt>
                <c:pt idx="7">
                  <c:v>273.75</c:v>
                </c:pt>
                <c:pt idx="8">
                  <c:v>240.25</c:v>
                </c:pt>
                <c:pt idx="9">
                  <c:v>206.75</c:v>
                </c:pt>
                <c:pt idx="10">
                  <c:v>173.25</c:v>
                </c:pt>
                <c:pt idx="11">
                  <c:v>139.75</c:v>
                </c:pt>
                <c:pt idx="12">
                  <c:v>106.25</c:v>
                </c:pt>
                <c:pt idx="13">
                  <c:v>72.75</c:v>
                </c:pt>
                <c:pt idx="14">
                  <c:v>39.25</c:v>
                </c:pt>
                <c:pt idx="15">
                  <c:v>5.75</c:v>
                </c:pt>
                <c:pt idx="16">
                  <c:v>-27.75</c:v>
                </c:pt>
                <c:pt idx="17">
                  <c:v>-61.25</c:v>
                </c:pt>
                <c:pt idx="18">
                  <c:v>-94.75</c:v>
                </c:pt>
                <c:pt idx="19">
                  <c:v>-128.25</c:v>
                </c:pt>
                <c:pt idx="20">
                  <c:v>-161.75</c:v>
                </c:pt>
                <c:pt idx="21">
                  <c:v>-195.25</c:v>
                </c:pt>
                <c:pt idx="22">
                  <c:v>-228.75</c:v>
                </c:pt>
                <c:pt idx="23">
                  <c:v>-262.25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"MC"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'GMO Monopoly'!$K$36:$K$59</c:f>
              <c:numCache>
                <c:formatCode>#,##0</c:formatCode>
                <c:ptCount val="24"/>
                <c:pt idx="0">
                  <c:v>1250000</c:v>
                </c:pt>
                <c:pt idx="1">
                  <c:v>3750000</c:v>
                </c:pt>
                <c:pt idx="2">
                  <c:v>6250000</c:v>
                </c:pt>
                <c:pt idx="3">
                  <c:v>8750000</c:v>
                </c:pt>
                <c:pt idx="4">
                  <c:v>11250000</c:v>
                </c:pt>
                <c:pt idx="5">
                  <c:v>13750000</c:v>
                </c:pt>
                <c:pt idx="6">
                  <c:v>16250000</c:v>
                </c:pt>
                <c:pt idx="7">
                  <c:v>18750000</c:v>
                </c:pt>
                <c:pt idx="8">
                  <c:v>21250000</c:v>
                </c:pt>
                <c:pt idx="9">
                  <c:v>23750000</c:v>
                </c:pt>
                <c:pt idx="10">
                  <c:v>26250000</c:v>
                </c:pt>
                <c:pt idx="11">
                  <c:v>28750000</c:v>
                </c:pt>
                <c:pt idx="12">
                  <c:v>31250000</c:v>
                </c:pt>
                <c:pt idx="13">
                  <c:v>33750000</c:v>
                </c:pt>
                <c:pt idx="14">
                  <c:v>36250000</c:v>
                </c:pt>
                <c:pt idx="15">
                  <c:v>38750000</c:v>
                </c:pt>
                <c:pt idx="16">
                  <c:v>41250000</c:v>
                </c:pt>
                <c:pt idx="17">
                  <c:v>43750000</c:v>
                </c:pt>
                <c:pt idx="18">
                  <c:v>46250000</c:v>
                </c:pt>
                <c:pt idx="19">
                  <c:v>48750000</c:v>
                </c:pt>
                <c:pt idx="20">
                  <c:v>51250000</c:v>
                </c:pt>
                <c:pt idx="21">
                  <c:v>53750000</c:v>
                </c:pt>
                <c:pt idx="22">
                  <c:v>56250000</c:v>
                </c:pt>
                <c:pt idx="23">
                  <c:v>58750000</c:v>
                </c:pt>
              </c:numCache>
            </c:numRef>
          </c:xVal>
          <c:yVal>
            <c:numRef>
              <c:f>'GMO Monopoly'!$I$36:$I$59</c:f>
              <c:numCache>
                <c:formatCode>\$#,##0.00;"($"#,##0.00\);\-</c:formatCode>
                <c:ptCount val="24"/>
                <c:pt idx="0">
                  <c:v>3.5</c:v>
                </c:pt>
                <c:pt idx="1">
                  <c:v>8.5</c:v>
                </c:pt>
                <c:pt idx="2">
                  <c:v>13.5</c:v>
                </c:pt>
                <c:pt idx="3">
                  <c:v>18.5</c:v>
                </c:pt>
                <c:pt idx="4">
                  <c:v>23.5</c:v>
                </c:pt>
                <c:pt idx="5">
                  <c:v>28.5</c:v>
                </c:pt>
                <c:pt idx="6">
                  <c:v>33.5</c:v>
                </c:pt>
                <c:pt idx="7">
                  <c:v>38.5</c:v>
                </c:pt>
                <c:pt idx="8">
                  <c:v>43.5</c:v>
                </c:pt>
                <c:pt idx="9">
                  <c:v>48.5</c:v>
                </c:pt>
                <c:pt idx="10">
                  <c:v>53.5</c:v>
                </c:pt>
                <c:pt idx="11">
                  <c:v>58.5</c:v>
                </c:pt>
                <c:pt idx="12">
                  <c:v>63.5</c:v>
                </c:pt>
                <c:pt idx="13">
                  <c:v>68.5</c:v>
                </c:pt>
                <c:pt idx="14">
                  <c:v>73.5</c:v>
                </c:pt>
                <c:pt idx="15">
                  <c:v>78.5</c:v>
                </c:pt>
                <c:pt idx="16">
                  <c:v>83.5</c:v>
                </c:pt>
                <c:pt idx="17">
                  <c:v>88.5</c:v>
                </c:pt>
                <c:pt idx="18">
                  <c:v>93.5</c:v>
                </c:pt>
                <c:pt idx="19">
                  <c:v>98.5</c:v>
                </c:pt>
                <c:pt idx="20">
                  <c:v>103.5</c:v>
                </c:pt>
                <c:pt idx="21">
                  <c:v>108.5</c:v>
                </c:pt>
                <c:pt idx="22">
                  <c:v>113.5</c:v>
                </c:pt>
                <c:pt idx="23">
                  <c:v>118.5</c:v>
                </c:pt>
              </c:numCache>
            </c:numRef>
          </c:yVal>
          <c:smooth val="1"/>
        </c:ser>
        <c:axId val="33506784"/>
        <c:axId val="51941513"/>
      </c:scatterChart>
      <c:valAx>
        <c:axId val="33506784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41513"/>
        <c:crossBetween val="midCat"/>
      </c:valAx>
      <c:valAx>
        <c:axId val="51941513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$/bag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506784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19</xdr:row>
      <xdr:rowOff>0</xdr:rowOff>
    </xdr:from>
    <xdr:to>
      <xdr:col>21</xdr:col>
      <xdr:colOff>38880</xdr:colOff>
      <xdr:row>34</xdr:row>
      <xdr:rowOff>165240</xdr:rowOff>
    </xdr:to>
    <xdr:graphicFrame>
      <xdr:nvGraphicFramePr>
        <xdr:cNvPr id="1" name="Chart 1"/>
        <xdr:cNvGraphicFramePr/>
      </xdr:nvGraphicFramePr>
      <xdr:xfrm>
        <a:off x="13956120" y="34862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33</xdr:row>
      <xdr:rowOff>0</xdr:rowOff>
    </xdr:from>
    <xdr:to>
      <xdr:col>21</xdr:col>
      <xdr:colOff>398880</xdr:colOff>
      <xdr:row>50</xdr:row>
      <xdr:rowOff>163080</xdr:rowOff>
    </xdr:to>
    <xdr:graphicFrame>
      <xdr:nvGraphicFramePr>
        <xdr:cNvPr id="2" name="Chart 1"/>
        <xdr:cNvGraphicFramePr/>
      </xdr:nvGraphicFramePr>
      <xdr:xfrm>
        <a:off x="14238000" y="6019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12"/>
  </cols>
  <sheetData>
    <row r="2" customFormat="false" ht="18" hidden="false" customHeight="tru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37.5" hidden="false" customHeight="true" outlineLevel="0" collapsed="false">
      <c r="B5" s="3" t="s">
        <v>2</v>
      </c>
    </row>
    <row r="6" customFormat="false" ht="14.25" hidden="false" customHeight="false" outlineLevel="0" collapsed="false">
      <c r="B6" s="3"/>
    </row>
    <row r="7" customFormat="false" ht="14.25" hidden="false" customHeight="false" outlineLevel="0" collapsed="false">
      <c r="B7" s="2" t="s">
        <v>3</v>
      </c>
    </row>
    <row r="8" customFormat="false" ht="14.25" hidden="false" customHeight="false" outlineLevel="0" collapsed="false">
      <c r="B8" s="3" t="s">
        <v>4</v>
      </c>
    </row>
    <row r="9" customFormat="false" ht="24.75" hidden="false" customHeight="true" outlineLevel="0" collapsed="false">
      <c r="B9" s="3" t="s">
        <v>5</v>
      </c>
    </row>
    <row r="10" customFormat="false" ht="24.75" hidden="false" customHeight="true" outlineLevel="0" collapsed="false">
      <c r="B10" s="3" t="s">
        <v>6</v>
      </c>
    </row>
    <row r="11" customFormat="false" ht="14.25" hidden="false" customHeight="false" outlineLevel="0" collapsed="false">
      <c r="B11" s="3" t="s">
        <v>7</v>
      </c>
    </row>
    <row r="12" customFormat="false" ht="24.75" hidden="false" customHeight="true" outlineLevel="0" collapsed="false">
      <c r="B12" s="3" t="s">
        <v>8</v>
      </c>
    </row>
    <row r="13" customFormat="false" ht="14.25" hidden="false" customHeight="false" outlineLevel="0" collapsed="false">
      <c r="B13" s="3"/>
    </row>
    <row r="14" customFormat="false" ht="14.25" hidden="false" customHeight="false" outlineLevel="0" collapsed="false">
      <c r="B14" s="2" t="s">
        <v>9</v>
      </c>
    </row>
    <row r="15" customFormat="false" ht="37.5" hidden="false" customHeight="true" outlineLevel="0" collapsed="false">
      <c r="B15" s="3" t="s">
        <v>10</v>
      </c>
    </row>
    <row r="16" customFormat="false" ht="14.25" hidden="false" customHeight="false" outlineLevel="0" collapsed="false">
      <c r="B16" s="3"/>
    </row>
    <row r="17" customFormat="false" ht="14.25" hidden="false" customHeight="false" outlineLevel="0" collapsed="false">
      <c r="B17" s="2" t="s">
        <v>11</v>
      </c>
    </row>
    <row r="18" customFormat="false" ht="37.5" hidden="false" customHeight="true" outlineLevel="0" collapsed="false">
      <c r="B18" s="3" t="s">
        <v>12</v>
      </c>
    </row>
    <row r="20" customFormat="false" ht="14.25" hidden="false" customHeight="false" outlineLevel="0" collapsed="false">
      <c r="B20" s="2" t="s">
        <v>13</v>
      </c>
    </row>
    <row r="21" customFormat="false" ht="14.25" hidden="false" customHeight="false" outlineLevel="0" collapsed="false">
      <c r="B21" s="4" t="s">
        <v>14</v>
      </c>
    </row>
    <row r="22" customFormat="false" ht="14.25" hidden="false" customHeight="false" outlineLevel="0" collapsed="false">
      <c r="B22" s="5" t="s">
        <v>15</v>
      </c>
    </row>
    <row r="23" customFormat="false" ht="14.25" hidden="false" customHeight="false" outlineLevel="0" collapsed="false">
      <c r="B23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</cols>
  <sheetData>
    <row r="2" customFormat="false" ht="18" hidden="false" customHeight="true" outlineLevel="0" collapsed="false">
      <c r="B2" s="1" t="s">
        <v>17</v>
      </c>
    </row>
    <row r="4" customFormat="false" ht="14.25" hidden="false" customHeight="false" outlineLevel="0" collapsed="false">
      <c r="B4" s="7" t="s">
        <v>18</v>
      </c>
      <c r="C4" s="8"/>
      <c r="D4" s="8"/>
    </row>
    <row r="5" customFormat="false" ht="14.25" hidden="false" customHeight="false" outlineLevel="0" collapsed="false">
      <c r="B5" s="5" t="s">
        <v>19</v>
      </c>
      <c r="C5" s="9" t="n">
        <v>120</v>
      </c>
      <c r="D5" s="5" t="s">
        <v>20</v>
      </c>
    </row>
    <row r="6" customFormat="false" ht="14.25" hidden="false" customHeight="false" outlineLevel="0" collapsed="false">
      <c r="B6" s="5" t="s">
        <v>21</v>
      </c>
      <c r="C6" s="10" t="n">
        <v>1</v>
      </c>
      <c r="D6" s="5" t="s">
        <v>22</v>
      </c>
    </row>
    <row r="7" customFormat="false" ht="14.25" hidden="false" customHeight="false" outlineLevel="0" collapsed="false">
      <c r="B7" s="5" t="s">
        <v>23</v>
      </c>
      <c r="C7" s="11" t="n">
        <v>1.5E-005</v>
      </c>
      <c r="D7" s="5" t="s">
        <v>24</v>
      </c>
    </row>
    <row r="8" customFormat="false" ht="14.25" hidden="false" customHeight="false" outlineLevel="0" collapsed="false">
      <c r="B8" s="5" t="s">
        <v>25</v>
      </c>
      <c r="C8" s="9" t="n">
        <v>130000000</v>
      </c>
      <c r="D8" s="5" t="s">
        <v>26</v>
      </c>
    </row>
    <row r="9" customFormat="false" ht="14.25" hidden="false" customHeight="false" outlineLevel="0" collapsed="false">
      <c r="B9" s="5" t="s">
        <v>27</v>
      </c>
      <c r="C9" s="5" t="s">
        <v>28</v>
      </c>
    </row>
    <row r="11" customFormat="false" ht="14.25" hidden="false" customHeight="false" outlineLevel="0" collapsed="false">
      <c r="B11" s="7" t="s">
        <v>29</v>
      </c>
      <c r="C11" s="8"/>
      <c r="D11" s="8"/>
    </row>
    <row r="12" customFormat="false" ht="14.25" hidden="false" customHeight="false" outlineLevel="0" collapsed="false">
      <c r="B12" s="5" t="s">
        <v>30</v>
      </c>
      <c r="C12" s="12" t="n">
        <v>0</v>
      </c>
      <c r="D12" s="5" t="s">
        <v>31</v>
      </c>
    </row>
    <row r="13" customFormat="false" ht="14.25" hidden="false" customHeight="false" outlineLevel="0" collapsed="false">
      <c r="B13" s="5" t="s">
        <v>32</v>
      </c>
      <c r="C13" s="13" t="n">
        <f aca="false">ng_a+2*ng_b*ng_Qopt</f>
        <v>1</v>
      </c>
      <c r="D13" s="5" t="s">
        <v>33</v>
      </c>
    </row>
    <row r="14" customFormat="false" ht="14.25" hidden="false" customHeight="false" outlineLevel="0" collapsed="false">
      <c r="B14" s="5" t="s">
        <v>34</v>
      </c>
      <c r="C14" s="14" t="n">
        <f aca="false">ng_P*ng_Qopt</f>
        <v>0</v>
      </c>
    </row>
    <row r="15" customFormat="false" ht="14.25" hidden="false" customHeight="false" outlineLevel="0" collapsed="false">
      <c r="B15" s="5" t="s">
        <v>35</v>
      </c>
      <c r="C15" s="14" t="n">
        <f aca="false">ng_a*ng_Qopt+ng_b*ng_Qopt^2</f>
        <v>0</v>
      </c>
      <c r="D15" s="5" t="s">
        <v>36</v>
      </c>
    </row>
    <row r="16" customFormat="false" ht="14.25" hidden="false" customHeight="false" outlineLevel="0" collapsed="false">
      <c r="B16" s="5" t="s">
        <v>37</v>
      </c>
      <c r="C16" s="14" t="n">
        <f aca="false">ng_a*ng_Qopt+ng_b*ng_Qopt^2+ng_FC</f>
        <v>130000000</v>
      </c>
    </row>
    <row r="17" customFormat="false" ht="14.25" hidden="false" customHeight="false" outlineLevel="0" collapsed="false">
      <c r="B17" s="5" t="s">
        <v>38</v>
      </c>
      <c r="C17" s="14" t="n">
        <f aca="false">ng_P*ng_Qopt-(ng_a*ng_Qopt+ng_b*ng_Qopt^2+ng_FC)</f>
        <v>-130000000</v>
      </c>
      <c r="D17" s="5" t="s">
        <v>39</v>
      </c>
    </row>
    <row r="19" customFormat="false" ht="14.25" hidden="false" customHeight="false" outlineLevel="0" collapsed="false">
      <c r="B19" s="7" t="s">
        <v>40</v>
      </c>
      <c r="C19" s="8"/>
      <c r="D19" s="8"/>
      <c r="E19" s="8"/>
      <c r="F19" s="8"/>
      <c r="G19" s="8"/>
      <c r="H19" s="8"/>
      <c r="I19" s="8"/>
      <c r="J19" s="8"/>
    </row>
    <row r="20" customFormat="false" ht="14.25" hidden="false" customHeight="false" outlineLevel="0" collapsed="false">
      <c r="B20" s="15" t="s">
        <v>41</v>
      </c>
      <c r="C20" s="15" t="s">
        <v>42</v>
      </c>
      <c r="D20" s="15" t="s">
        <v>43</v>
      </c>
      <c r="E20" s="15" t="s">
        <v>44</v>
      </c>
      <c r="F20" s="15" t="s">
        <v>37</v>
      </c>
      <c r="G20" s="15" t="s">
        <v>45</v>
      </c>
      <c r="H20" s="15" t="s">
        <v>46</v>
      </c>
      <c r="I20" s="15" t="s">
        <v>47</v>
      </c>
      <c r="J20" s="15" t="s">
        <v>48</v>
      </c>
      <c r="K20" s="15" t="s">
        <v>49</v>
      </c>
    </row>
    <row r="21" customFormat="false" ht="14.25" hidden="false" customHeight="false" outlineLevel="0" collapsed="false">
      <c r="B21" s="16" t="n">
        <v>0</v>
      </c>
      <c r="C21" s="14" t="n">
        <f aca="false">ng_P</f>
        <v>120</v>
      </c>
      <c r="D21" s="14" t="n">
        <f aca="false">C21*B21</f>
        <v>0</v>
      </c>
      <c r="E21" s="14" t="n">
        <f aca="false">ng_a*B21+ng_b*B21^2</f>
        <v>0</v>
      </c>
      <c r="F21" s="14" t="n">
        <f aca="false">E21+ng_FC</f>
        <v>130000000</v>
      </c>
      <c r="G21" s="14" t="n">
        <f aca="false">D21-F21</f>
        <v>-130000000</v>
      </c>
    </row>
    <row r="22" customFormat="false" ht="14.25" hidden="false" customHeight="false" outlineLevel="0" collapsed="false">
      <c r="B22" s="16" t="n">
        <v>500000</v>
      </c>
      <c r="C22" s="14" t="n">
        <f aca="false">ng_P</f>
        <v>120</v>
      </c>
      <c r="D22" s="14" t="n">
        <f aca="false">C22*B22</f>
        <v>60000000</v>
      </c>
      <c r="E22" s="14" t="n">
        <f aca="false">ng_a*B22+ng_b*B22^2</f>
        <v>4250000</v>
      </c>
      <c r="F22" s="14" t="n">
        <f aca="false">E22+ng_FC</f>
        <v>134250000</v>
      </c>
      <c r="G22" s="14" t="n">
        <f aca="false">D22-F22</f>
        <v>-74250000</v>
      </c>
      <c r="H22" s="13" t="n">
        <f aca="false">(D22-D21)/(B22-B21)</f>
        <v>120</v>
      </c>
      <c r="I22" s="13" t="n">
        <f aca="false">(F22-F21)/(B22-B21)</f>
        <v>8.5</v>
      </c>
      <c r="J22" s="5" t="str">
        <f aca="false">IF(AND(ng_P&gt;I22,ng_P&lt;=I23),"&lt;-- P ~ MC","")</f>
        <v/>
      </c>
      <c r="K22" s="16" t="n">
        <f aca="false">(B22+B21)/2</f>
        <v>250000</v>
      </c>
    </row>
    <row r="23" customFormat="false" ht="14.25" hidden="false" customHeight="false" outlineLevel="0" collapsed="false">
      <c r="B23" s="16" t="n">
        <v>1000000</v>
      </c>
      <c r="C23" s="14" t="n">
        <f aca="false">ng_P</f>
        <v>120</v>
      </c>
      <c r="D23" s="14" t="n">
        <f aca="false">C23*B23</f>
        <v>120000000</v>
      </c>
      <c r="E23" s="14" t="n">
        <f aca="false">ng_a*B23+ng_b*B23^2</f>
        <v>16000000</v>
      </c>
      <c r="F23" s="14" t="n">
        <f aca="false">E23+ng_FC</f>
        <v>146000000</v>
      </c>
      <c r="G23" s="14" t="n">
        <f aca="false">D23-F23</f>
        <v>-26000000</v>
      </c>
      <c r="H23" s="13" t="n">
        <f aca="false">(D23-D22)/(B23-B22)</f>
        <v>120</v>
      </c>
      <c r="I23" s="13" t="n">
        <f aca="false">(F23-F22)/(B23-B22)</f>
        <v>23.5</v>
      </c>
      <c r="J23" s="5" t="str">
        <f aca="false">IF(AND(ng_P&gt;I23,ng_P&lt;=I24),"&lt;-- P ~ MC","")</f>
        <v/>
      </c>
      <c r="K23" s="16" t="n">
        <f aca="false">(B23+B22)/2</f>
        <v>750000</v>
      </c>
    </row>
    <row r="24" customFormat="false" ht="14.25" hidden="false" customHeight="false" outlineLevel="0" collapsed="false">
      <c r="B24" s="16" t="n">
        <v>1500000</v>
      </c>
      <c r="C24" s="14" t="n">
        <f aca="false">ng_P</f>
        <v>120</v>
      </c>
      <c r="D24" s="14" t="n">
        <f aca="false">C24*B24</f>
        <v>180000000</v>
      </c>
      <c r="E24" s="14" t="n">
        <f aca="false">ng_a*B24+ng_b*B24^2</f>
        <v>35250000</v>
      </c>
      <c r="F24" s="14" t="n">
        <f aca="false">E24+ng_FC</f>
        <v>165250000</v>
      </c>
      <c r="G24" s="14" t="n">
        <f aca="false">D24-F24</f>
        <v>14750000</v>
      </c>
      <c r="H24" s="13" t="n">
        <f aca="false">(D24-D23)/(B24-B23)</f>
        <v>120</v>
      </c>
      <c r="I24" s="13" t="n">
        <f aca="false">(F24-F23)/(B24-B23)</f>
        <v>38.5</v>
      </c>
      <c r="J24" s="5" t="str">
        <f aca="false">IF(AND(ng_P&gt;I24,ng_P&lt;=I25),"&lt;-- P ~ MC","")</f>
        <v/>
      </c>
      <c r="K24" s="16" t="n">
        <f aca="false">(B24+B23)/2</f>
        <v>1250000</v>
      </c>
    </row>
    <row r="25" customFormat="false" ht="14.25" hidden="false" customHeight="false" outlineLevel="0" collapsed="false">
      <c r="B25" s="16" t="n">
        <v>2000000</v>
      </c>
      <c r="C25" s="14" t="n">
        <f aca="false">ng_P</f>
        <v>120</v>
      </c>
      <c r="D25" s="14" t="n">
        <f aca="false">C25*B25</f>
        <v>240000000</v>
      </c>
      <c r="E25" s="14" t="n">
        <f aca="false">ng_a*B25+ng_b*B25^2</f>
        <v>62000000</v>
      </c>
      <c r="F25" s="14" t="n">
        <f aca="false">E25+ng_FC</f>
        <v>192000000</v>
      </c>
      <c r="G25" s="14" t="n">
        <f aca="false">D25-F25</f>
        <v>48000000</v>
      </c>
      <c r="H25" s="13" t="n">
        <f aca="false">(D25-D24)/(B25-B24)</f>
        <v>120</v>
      </c>
      <c r="I25" s="13" t="n">
        <f aca="false">(F25-F24)/(B25-B24)</f>
        <v>53.5</v>
      </c>
      <c r="J25" s="5" t="str">
        <f aca="false">IF(AND(ng_P&gt;I25,ng_P&lt;=I26),"&lt;-- P ~ MC","")</f>
        <v/>
      </c>
      <c r="K25" s="16" t="n">
        <f aca="false">(B25+B24)/2</f>
        <v>1750000</v>
      </c>
    </row>
    <row r="26" customFormat="false" ht="14.25" hidden="false" customHeight="false" outlineLevel="0" collapsed="false">
      <c r="B26" s="16" t="n">
        <v>2500000</v>
      </c>
      <c r="C26" s="14" t="n">
        <f aca="false">ng_P</f>
        <v>120</v>
      </c>
      <c r="D26" s="14" t="n">
        <f aca="false">C26*B26</f>
        <v>300000000</v>
      </c>
      <c r="E26" s="14" t="n">
        <f aca="false">ng_a*B26+ng_b*B26^2</f>
        <v>96250000</v>
      </c>
      <c r="F26" s="14" t="n">
        <f aca="false">E26+ng_FC</f>
        <v>226250000</v>
      </c>
      <c r="G26" s="14" t="n">
        <f aca="false">D26-F26</f>
        <v>73750000</v>
      </c>
      <c r="H26" s="13" t="n">
        <f aca="false">(D26-D25)/(B26-B25)</f>
        <v>120</v>
      </c>
      <c r="I26" s="13" t="n">
        <f aca="false">(F26-F25)/(B26-B25)</f>
        <v>68.5</v>
      </c>
      <c r="J26" s="5" t="str">
        <f aca="false">IF(AND(ng_P&gt;I26,ng_P&lt;=I27),"&lt;-- P ~ MC","")</f>
        <v/>
      </c>
      <c r="K26" s="16" t="n">
        <f aca="false">(B26+B25)/2</f>
        <v>2250000</v>
      </c>
    </row>
    <row r="27" customFormat="false" ht="14.25" hidden="false" customHeight="false" outlineLevel="0" collapsed="false">
      <c r="B27" s="16" t="n">
        <v>3000000</v>
      </c>
      <c r="C27" s="14" t="n">
        <f aca="false">ng_P</f>
        <v>120</v>
      </c>
      <c r="D27" s="14" t="n">
        <f aca="false">C27*B27</f>
        <v>360000000</v>
      </c>
      <c r="E27" s="14" t="n">
        <f aca="false">ng_a*B27+ng_b*B27^2</f>
        <v>138000000</v>
      </c>
      <c r="F27" s="14" t="n">
        <f aca="false">E27+ng_FC</f>
        <v>268000000</v>
      </c>
      <c r="G27" s="14" t="n">
        <f aca="false">D27-F27</f>
        <v>92000000</v>
      </c>
      <c r="H27" s="13" t="n">
        <f aca="false">(D27-D26)/(B27-B26)</f>
        <v>120</v>
      </c>
      <c r="I27" s="13" t="n">
        <f aca="false">(F27-F26)/(B27-B26)</f>
        <v>83.5</v>
      </c>
      <c r="J27" s="5" t="str">
        <f aca="false">IF(AND(ng_P&gt;I27,ng_P&lt;=I28),"&lt;-- P ~ MC","")</f>
        <v/>
      </c>
      <c r="K27" s="16" t="n">
        <f aca="false">(B27+B26)/2</f>
        <v>2750000</v>
      </c>
    </row>
    <row r="28" customFormat="false" ht="14.25" hidden="false" customHeight="false" outlineLevel="0" collapsed="false">
      <c r="B28" s="16" t="n">
        <v>3500000</v>
      </c>
      <c r="C28" s="14" t="n">
        <f aca="false">ng_P</f>
        <v>120</v>
      </c>
      <c r="D28" s="14" t="n">
        <f aca="false">C28*B28</f>
        <v>420000000</v>
      </c>
      <c r="E28" s="14" t="n">
        <f aca="false">ng_a*B28+ng_b*B28^2</f>
        <v>187250000</v>
      </c>
      <c r="F28" s="14" t="n">
        <f aca="false">E28+ng_FC</f>
        <v>317250000</v>
      </c>
      <c r="G28" s="14" t="n">
        <f aca="false">D28-F28</f>
        <v>102750000</v>
      </c>
      <c r="H28" s="13" t="n">
        <f aca="false">(D28-D27)/(B28-B27)</f>
        <v>120</v>
      </c>
      <c r="I28" s="13" t="n">
        <f aca="false">(F28-F27)/(B28-B27)</f>
        <v>98.5</v>
      </c>
      <c r="J28" s="5" t="str">
        <f aca="false">IF(AND(ng_P&gt;I28,ng_P&lt;=I29),"&lt;-- P ~ MC","")</f>
        <v/>
      </c>
      <c r="K28" s="16" t="n">
        <f aca="false">(B28+B27)/2</f>
        <v>3250000</v>
      </c>
    </row>
    <row r="29" customFormat="false" ht="14.25" hidden="false" customHeight="false" outlineLevel="0" collapsed="false">
      <c r="B29" s="16" t="n">
        <v>4000000</v>
      </c>
      <c r="C29" s="14" t="n">
        <f aca="false">ng_P</f>
        <v>120</v>
      </c>
      <c r="D29" s="14" t="n">
        <f aca="false">C29*B29</f>
        <v>480000000</v>
      </c>
      <c r="E29" s="14" t="n">
        <f aca="false">ng_a*B29+ng_b*B29^2</f>
        <v>244000000</v>
      </c>
      <c r="F29" s="14" t="n">
        <f aca="false">E29+ng_FC</f>
        <v>374000000</v>
      </c>
      <c r="G29" s="14" t="n">
        <f aca="false">D29-F29</f>
        <v>106000000</v>
      </c>
      <c r="H29" s="13" t="n">
        <f aca="false">(D29-D28)/(B29-B28)</f>
        <v>120</v>
      </c>
      <c r="I29" s="13" t="n">
        <f aca="false">(F29-F28)/(B29-B28)</f>
        <v>113.5</v>
      </c>
      <c r="J29" s="5" t="str">
        <f aca="false">IF(AND(ng_P&gt;I29,ng_P&lt;=I30),"&lt;-- P ~ MC","")</f>
        <v>&lt;-- P ~ MC</v>
      </c>
      <c r="K29" s="16" t="n">
        <f aca="false">(B29+B28)/2</f>
        <v>3750000</v>
      </c>
    </row>
    <row r="30" customFormat="false" ht="14.25" hidden="false" customHeight="false" outlineLevel="0" collapsed="false">
      <c r="B30" s="16" t="n">
        <v>4500000</v>
      </c>
      <c r="C30" s="14" t="n">
        <f aca="false">ng_P</f>
        <v>120</v>
      </c>
      <c r="D30" s="14" t="n">
        <f aca="false">C30*B30</f>
        <v>540000000</v>
      </c>
      <c r="E30" s="14" t="n">
        <f aca="false">ng_a*B30+ng_b*B30^2</f>
        <v>308250000</v>
      </c>
      <c r="F30" s="14" t="n">
        <f aca="false">E30+ng_FC</f>
        <v>438250000</v>
      </c>
      <c r="G30" s="14" t="n">
        <f aca="false">D30-F30</f>
        <v>101750000</v>
      </c>
      <c r="H30" s="13" t="n">
        <f aca="false">(D30-D29)/(B30-B29)</f>
        <v>120</v>
      </c>
      <c r="I30" s="13" t="n">
        <f aca="false">(F30-F29)/(B30-B29)</f>
        <v>128.5</v>
      </c>
      <c r="J30" s="5" t="str">
        <f aca="false">IF(AND(ng_P&gt;I30,ng_P&lt;=I31),"&lt;-- P ~ MC","")</f>
        <v/>
      </c>
      <c r="K30" s="16" t="n">
        <f aca="false">(B30+B29)/2</f>
        <v>4250000</v>
      </c>
    </row>
    <row r="31" customFormat="false" ht="14.25" hidden="false" customHeight="false" outlineLevel="0" collapsed="false">
      <c r="B31" s="16" t="n">
        <v>5000000</v>
      </c>
      <c r="C31" s="14" t="n">
        <f aca="false">ng_P</f>
        <v>120</v>
      </c>
      <c r="D31" s="14" t="n">
        <f aca="false">C31*B31</f>
        <v>600000000</v>
      </c>
      <c r="E31" s="14" t="n">
        <f aca="false">ng_a*B31+ng_b*B31^2</f>
        <v>380000000</v>
      </c>
      <c r="F31" s="14" t="n">
        <f aca="false">E31+ng_FC</f>
        <v>510000000</v>
      </c>
      <c r="G31" s="14" t="n">
        <f aca="false">D31-F31</f>
        <v>90000000</v>
      </c>
      <c r="H31" s="13" t="n">
        <f aca="false">(D31-D30)/(B31-B30)</f>
        <v>120</v>
      </c>
      <c r="I31" s="13" t="n">
        <f aca="false">(F31-F30)/(B31-B30)</f>
        <v>143.5</v>
      </c>
      <c r="J31" s="5" t="str">
        <f aca="false">IF(AND(ng_P&gt;I31,ng_P&lt;=I32),"&lt;-- P ~ MC","")</f>
        <v/>
      </c>
      <c r="K31" s="16" t="n">
        <f aca="false">(B31+B30)/2</f>
        <v>4750000</v>
      </c>
    </row>
    <row r="32" customFormat="false" ht="14.25" hidden="false" customHeight="false" outlineLevel="0" collapsed="false">
      <c r="B32" s="16" t="n">
        <v>5500000</v>
      </c>
      <c r="C32" s="14" t="n">
        <f aca="false">ng_P</f>
        <v>120</v>
      </c>
      <c r="D32" s="14" t="n">
        <f aca="false">C32*B32</f>
        <v>660000000</v>
      </c>
      <c r="E32" s="14" t="n">
        <f aca="false">ng_a*B32+ng_b*B32^2</f>
        <v>459250000</v>
      </c>
      <c r="F32" s="14" t="n">
        <f aca="false">E32+ng_FC</f>
        <v>589250000</v>
      </c>
      <c r="G32" s="14" t="n">
        <f aca="false">D32-F32</f>
        <v>70750000</v>
      </c>
      <c r="H32" s="13" t="n">
        <f aca="false">(D32-D31)/(B32-B31)</f>
        <v>120</v>
      </c>
      <c r="I32" s="13" t="n">
        <f aca="false">(F32-F31)/(B32-B31)</f>
        <v>158.5</v>
      </c>
      <c r="J32" s="5" t="str">
        <f aca="false">IF(AND(ng_P&gt;I32,ng_P&lt;=I33),"&lt;-- P ~ MC","")</f>
        <v/>
      </c>
      <c r="K32" s="16" t="n">
        <f aca="false">(B32+B31)/2</f>
        <v>5250000</v>
      </c>
    </row>
    <row r="33" customFormat="false" ht="14.25" hidden="false" customHeight="false" outlineLevel="0" collapsed="false">
      <c r="B33" s="16" t="n">
        <v>6000000</v>
      </c>
      <c r="C33" s="14" t="n">
        <f aca="false">ng_P</f>
        <v>120</v>
      </c>
      <c r="D33" s="14" t="n">
        <f aca="false">C33*B33</f>
        <v>720000000</v>
      </c>
      <c r="E33" s="14" t="n">
        <f aca="false">ng_a*B33+ng_b*B33^2</f>
        <v>546000000</v>
      </c>
      <c r="F33" s="14" t="n">
        <f aca="false">E33+ng_FC</f>
        <v>676000000</v>
      </c>
      <c r="G33" s="14" t="n">
        <f aca="false">D33-F33</f>
        <v>44000000</v>
      </c>
      <c r="H33" s="13" t="n">
        <f aca="false">(D33-D32)/(B33-B32)</f>
        <v>120</v>
      </c>
      <c r="I33" s="13" t="n">
        <f aca="false">(F33-F32)/(B33-B32)</f>
        <v>173.5</v>
      </c>
      <c r="J33" s="5" t="str">
        <f aca="false">IF(AND(ng_P&gt;I33,ng_P&lt;=I34),"&lt;-- P ~ MC","")</f>
        <v/>
      </c>
      <c r="K33" s="16" t="n">
        <f aca="false">(B33+B32)/2</f>
        <v>5750000</v>
      </c>
    </row>
    <row r="34" customFormat="false" ht="14.25" hidden="false" customHeight="false" outlineLevel="0" collapsed="false">
      <c r="B34" s="16" t="n">
        <v>6500000</v>
      </c>
      <c r="C34" s="14" t="n">
        <f aca="false">ng_P</f>
        <v>120</v>
      </c>
      <c r="D34" s="14" t="n">
        <f aca="false">C34*B34</f>
        <v>780000000</v>
      </c>
      <c r="E34" s="14" t="n">
        <f aca="false">ng_a*B34+ng_b*B34^2</f>
        <v>640250000</v>
      </c>
      <c r="F34" s="14" t="n">
        <f aca="false">E34+ng_FC</f>
        <v>770250000</v>
      </c>
      <c r="G34" s="14" t="n">
        <f aca="false">D34-F34</f>
        <v>9750000</v>
      </c>
      <c r="H34" s="13" t="n">
        <f aca="false">(D34-D33)/(B34-B33)</f>
        <v>120</v>
      </c>
      <c r="I34" s="13" t="n">
        <f aca="false">(F34-F33)/(B34-B33)</f>
        <v>188.5</v>
      </c>
      <c r="J34" s="5" t="str">
        <f aca="false">IF(AND(ng_P&gt;I34,ng_P&lt;=I35),"&lt;-- P ~ MC","")</f>
        <v/>
      </c>
      <c r="K34" s="16" t="n">
        <f aca="false">(B34+B33)/2</f>
        <v>6250000</v>
      </c>
    </row>
    <row r="35" customFormat="false" ht="14.25" hidden="false" customHeight="false" outlineLevel="0" collapsed="false">
      <c r="B35" s="16" t="n">
        <v>7000000</v>
      </c>
      <c r="C35" s="14" t="n">
        <f aca="false">ng_P</f>
        <v>120</v>
      </c>
      <c r="D35" s="14" t="n">
        <f aca="false">C35*B35</f>
        <v>840000000</v>
      </c>
      <c r="E35" s="14" t="n">
        <f aca="false">ng_a*B35+ng_b*B35^2</f>
        <v>742000000</v>
      </c>
      <c r="F35" s="14" t="n">
        <f aca="false">E35+ng_FC</f>
        <v>872000000</v>
      </c>
      <c r="G35" s="14" t="n">
        <f aca="false">D35-F35</f>
        <v>-32000000</v>
      </c>
      <c r="H35" s="13" t="n">
        <f aca="false">(D35-D34)/(B35-B34)</f>
        <v>120</v>
      </c>
      <c r="I35" s="13" t="n">
        <f aca="false">(F35-F34)/(B35-B34)</f>
        <v>203.5</v>
      </c>
      <c r="J35" s="5" t="str">
        <f aca="false">IF(AND(ng_P&gt;I35,ng_P&lt;=I36),"&lt;-- P ~ MC","")</f>
        <v/>
      </c>
      <c r="K35" s="16" t="n">
        <f aca="false">(B35+B34)/2</f>
        <v>6750000</v>
      </c>
    </row>
    <row r="36" customFormat="false" ht="14.25" hidden="false" customHeight="false" outlineLevel="0" collapsed="false">
      <c r="B36" s="16" t="n">
        <v>7500000</v>
      </c>
      <c r="C36" s="14" t="n">
        <f aca="false">ng_P</f>
        <v>120</v>
      </c>
      <c r="D36" s="14" t="n">
        <f aca="false">C36*B36</f>
        <v>900000000</v>
      </c>
      <c r="E36" s="14" t="n">
        <f aca="false">ng_a*B36+ng_b*B36^2</f>
        <v>851250000</v>
      </c>
      <c r="F36" s="14" t="n">
        <f aca="false">E36+ng_FC</f>
        <v>981250000</v>
      </c>
      <c r="G36" s="14" t="n">
        <f aca="false">D36-F36</f>
        <v>-81250000</v>
      </c>
      <c r="H36" s="13" t="n">
        <f aca="false">(D36-D35)/(B36-B35)</f>
        <v>120</v>
      </c>
      <c r="I36" s="13" t="n">
        <f aca="false">(F36-F35)/(B36-B35)</f>
        <v>218.5</v>
      </c>
      <c r="J36" s="5" t="str">
        <f aca="false">IF(AND(ng_P&gt;I36,ng_P&lt;=I37),"&lt;-- P ~ MC","")</f>
        <v/>
      </c>
      <c r="K36" s="16" t="n">
        <f aca="false">(B36+B35)/2</f>
        <v>7250000</v>
      </c>
    </row>
    <row r="37" customFormat="false" ht="14.25" hidden="false" customHeight="false" outlineLevel="0" collapsed="false">
      <c r="B37" s="16" t="n">
        <v>8000000</v>
      </c>
      <c r="C37" s="14" t="n">
        <f aca="false">ng_P</f>
        <v>120</v>
      </c>
      <c r="D37" s="14" t="n">
        <f aca="false">C37*B37</f>
        <v>960000000</v>
      </c>
      <c r="E37" s="14" t="n">
        <f aca="false">ng_a*B37+ng_b*B37^2</f>
        <v>968000000</v>
      </c>
      <c r="F37" s="14" t="n">
        <f aca="false">E37+ng_FC</f>
        <v>1098000000</v>
      </c>
      <c r="G37" s="14" t="n">
        <f aca="false">D37-F37</f>
        <v>-138000000</v>
      </c>
      <c r="H37" s="13" t="n">
        <f aca="false">(D37-D36)/(B37-B36)</f>
        <v>120</v>
      </c>
      <c r="I37" s="13" t="n">
        <f aca="false">(F37-F36)/(B37-B36)</f>
        <v>233.5</v>
      </c>
      <c r="K37" s="16" t="n">
        <f aca="false">(B37+B36)/2</f>
        <v>7750000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</cols>
  <sheetData>
    <row r="2" customFormat="false" ht="18" hidden="false" customHeight="true" outlineLevel="0" collapsed="false">
      <c r="B2" s="1" t="s">
        <v>50</v>
      </c>
    </row>
    <row r="4" customFormat="false" ht="14.25" hidden="false" customHeight="false" outlineLevel="0" collapsed="false">
      <c r="B4" s="7" t="s">
        <v>18</v>
      </c>
      <c r="C4" s="8"/>
      <c r="D4" s="8"/>
    </row>
    <row r="5" customFormat="false" ht="14.25" hidden="false" customHeight="false" outlineLevel="0" collapsed="false">
      <c r="B5" s="5" t="s">
        <v>51</v>
      </c>
      <c r="C5" s="9" t="n">
        <v>525</v>
      </c>
      <c r="D5" s="5" t="s">
        <v>52</v>
      </c>
    </row>
    <row r="6" customFormat="false" ht="14.25" hidden="false" customHeight="false" outlineLevel="0" collapsed="false">
      <c r="B6" s="5" t="s">
        <v>53</v>
      </c>
      <c r="C6" s="11" t="n">
        <v>-6.7E-006</v>
      </c>
      <c r="D6" s="5" t="s">
        <v>54</v>
      </c>
    </row>
    <row r="7" customFormat="false" ht="14.25" hidden="false" customHeight="false" outlineLevel="0" collapsed="false">
      <c r="B7" s="5" t="s">
        <v>21</v>
      </c>
      <c r="C7" s="10" t="n">
        <v>1</v>
      </c>
      <c r="D7" s="5" t="s">
        <v>22</v>
      </c>
    </row>
    <row r="8" customFormat="false" ht="14.25" hidden="false" customHeight="false" outlineLevel="0" collapsed="false">
      <c r="B8" s="5" t="s">
        <v>23</v>
      </c>
      <c r="C8" s="11" t="n">
        <v>1E-006</v>
      </c>
      <c r="D8" s="5" t="s">
        <v>55</v>
      </c>
    </row>
    <row r="9" customFormat="false" ht="14.25" hidden="false" customHeight="false" outlineLevel="0" collapsed="false">
      <c r="B9" s="5" t="s">
        <v>25</v>
      </c>
      <c r="C9" s="9" t="n">
        <v>130000000</v>
      </c>
      <c r="D9" s="5" t="s">
        <v>56</v>
      </c>
    </row>
    <row r="10" customFormat="false" ht="14.25" hidden="false" customHeight="false" outlineLevel="0" collapsed="false">
      <c r="B10" s="5" t="s">
        <v>27</v>
      </c>
      <c r="C10" s="5" t="s">
        <v>57</v>
      </c>
    </row>
    <row r="12" customFormat="false" ht="14.25" hidden="false" customHeight="false" outlineLevel="0" collapsed="false">
      <c r="B12" s="7" t="s">
        <v>58</v>
      </c>
      <c r="C12" s="8"/>
      <c r="D12" s="8"/>
    </row>
    <row r="13" customFormat="false" ht="14.25" hidden="false" customHeight="false" outlineLevel="0" collapsed="false">
      <c r="B13" s="5" t="s">
        <v>59</v>
      </c>
      <c r="C13" s="14" t="n">
        <f aca="false">g_Di</f>
        <v>525</v>
      </c>
      <c r="D13" s="5" t="s">
        <v>60</v>
      </c>
    </row>
    <row r="14" customFormat="false" ht="14.25" hidden="false" customHeight="false" outlineLevel="0" collapsed="false">
      <c r="B14" s="5" t="s">
        <v>61</v>
      </c>
      <c r="C14" s="17" t="n">
        <f aca="false">2*g_Ds</f>
        <v>-1.34E-005</v>
      </c>
      <c r="D14" s="5" t="s">
        <v>62</v>
      </c>
    </row>
    <row r="16" customFormat="false" ht="14.25" hidden="false" customHeight="false" outlineLevel="0" collapsed="false">
      <c r="B16" s="7" t="s">
        <v>63</v>
      </c>
      <c r="C16" s="8"/>
      <c r="D16" s="8"/>
    </row>
    <row r="17" customFormat="false" ht="14.25" hidden="false" customHeight="false" outlineLevel="0" collapsed="false">
      <c r="B17" s="5" t="s">
        <v>30</v>
      </c>
      <c r="C17" s="12" t="n">
        <v>0</v>
      </c>
      <c r="D17" s="5" t="s">
        <v>64</v>
      </c>
    </row>
    <row r="18" customFormat="false" ht="14.25" hidden="false" customHeight="false" outlineLevel="0" collapsed="false">
      <c r="B18" s="5" t="s">
        <v>65</v>
      </c>
      <c r="C18" s="18" t="n">
        <v>0</v>
      </c>
      <c r="D18" s="5" t="s">
        <v>66</v>
      </c>
    </row>
    <row r="19" customFormat="false" ht="14.25" hidden="false" customHeight="false" outlineLevel="0" collapsed="false">
      <c r="B19" s="5" t="s">
        <v>67</v>
      </c>
      <c r="C19" s="13" t="n">
        <f aca="false">g_Di+2*g_Ds*g_Qopt</f>
        <v>525</v>
      </c>
      <c r="D19" s="5" t="s">
        <v>68</v>
      </c>
    </row>
    <row r="20" customFormat="false" ht="14.25" hidden="false" customHeight="false" outlineLevel="0" collapsed="false">
      <c r="B20" s="5" t="s">
        <v>32</v>
      </c>
      <c r="C20" s="13" t="n">
        <f aca="false">g_a+2*g_b*g_Qopt</f>
        <v>1</v>
      </c>
    </row>
    <row r="21" customFormat="false" ht="14.25" hidden="false" customHeight="false" outlineLevel="0" collapsed="false">
      <c r="B21" s="5" t="s">
        <v>34</v>
      </c>
      <c r="C21" s="14" t="n">
        <f aca="false">g_Popt*g_Qopt</f>
        <v>0</v>
      </c>
    </row>
    <row r="22" customFormat="false" ht="14.25" hidden="false" customHeight="false" outlineLevel="0" collapsed="false">
      <c r="B22" s="5" t="s">
        <v>35</v>
      </c>
      <c r="C22" s="14" t="n">
        <f aca="false">g_a*g_Qopt+g_b*g_Qopt^2</f>
        <v>0</v>
      </c>
      <c r="D22" s="5" t="s">
        <v>36</v>
      </c>
    </row>
    <row r="23" customFormat="false" ht="14.25" hidden="false" customHeight="false" outlineLevel="0" collapsed="false">
      <c r="B23" s="5" t="s">
        <v>37</v>
      </c>
      <c r="C23" s="14" t="n">
        <f aca="false">g_a*g_Qopt+g_b*g_Qopt^2+g_FC</f>
        <v>130000000</v>
      </c>
    </row>
    <row r="24" customFormat="false" ht="14.25" hidden="false" customHeight="false" outlineLevel="0" collapsed="false">
      <c r="B24" s="5" t="s">
        <v>38</v>
      </c>
      <c r="C24" s="14" t="n">
        <f aca="false">g_Popt*g_Qopt-(g_a*g_Qopt+g_b*g_Qopt^2+g_FC)</f>
        <v>-130000000</v>
      </c>
      <c r="D24" s="5" t="s">
        <v>69</v>
      </c>
    </row>
    <row r="25" customFormat="false" ht="14.25" hidden="false" customHeight="false" outlineLevel="0" collapsed="false">
      <c r="B25" s="5" t="s">
        <v>70</v>
      </c>
      <c r="C25" s="19" t="n">
        <f aca="false">g_Popt/(g_a+2*g_b*g_Qopt)</f>
        <v>0</v>
      </c>
      <c r="D25" s="5" t="s">
        <v>71</v>
      </c>
    </row>
    <row r="26" customFormat="false" ht="14.25" hidden="false" customHeight="false" outlineLevel="0" collapsed="false">
      <c r="B26" s="5" t="s">
        <v>72</v>
      </c>
      <c r="C26" s="20" t="str">
        <f aca="false">IFERROR((g_Popt-(g_a+2*g_b*g_Qopt))/g_Popt,"-")</f>
        <v>-</v>
      </c>
      <c r="D26" s="5" t="s">
        <v>73</v>
      </c>
    </row>
    <row r="28" customFormat="false" ht="14.25" hidden="false" customHeight="false" outlineLevel="0" collapsed="false">
      <c r="B28" s="7" t="s">
        <v>74</v>
      </c>
      <c r="C28" s="8"/>
      <c r="D28" s="8"/>
    </row>
    <row r="29" customFormat="false" ht="14.25" hidden="false" customHeight="false" outlineLevel="0" collapsed="false">
      <c r="B29" s="5" t="s">
        <v>75</v>
      </c>
      <c r="C29" s="16" t="n">
        <f aca="false">(g_Di-g_a)/(2*g_b-g_Ds)</f>
        <v>60229885.0574713</v>
      </c>
      <c r="D29" s="5" t="s">
        <v>76</v>
      </c>
    </row>
    <row r="30" customFormat="false" ht="14.25" hidden="false" customHeight="false" outlineLevel="0" collapsed="false">
      <c r="B30" s="5" t="s">
        <v>77</v>
      </c>
      <c r="C30" s="13" t="n">
        <f aca="false">g_Di+g_Ds*((g_Di-g_a)/(2*g_b-g_Ds))</f>
        <v>121.459770114943</v>
      </c>
      <c r="D30" s="5" t="s">
        <v>78</v>
      </c>
    </row>
    <row r="31" customFormat="false" ht="14.25" hidden="false" customHeight="false" outlineLevel="0" collapsed="false">
      <c r="B31" s="5" t="s">
        <v>79</v>
      </c>
      <c r="C31" s="14" t="str">
        <f aca="false">IF(g_Qopt=0,"—",0.5*(g_Popt-(g_a+2*g_b*g_Qopt))*(((g_Di-g_a)/(2*g_b-g_Ds))-g_Qopt))</f>
        <v>—</v>
      </c>
      <c r="D31" s="5" t="s">
        <v>80</v>
      </c>
    </row>
    <row r="33" customFormat="false" ht="14.25" hidden="false" customHeight="false" outlineLevel="0" collapsed="false">
      <c r="B33" s="7" t="s">
        <v>40</v>
      </c>
      <c r="C33" s="8"/>
      <c r="D33" s="8"/>
      <c r="E33" s="8"/>
      <c r="F33" s="8"/>
      <c r="G33" s="8"/>
      <c r="H33" s="8"/>
      <c r="I33" s="8"/>
      <c r="J33" s="8"/>
    </row>
    <row r="34" customFormat="false" ht="14.25" hidden="false" customHeight="false" outlineLevel="0" collapsed="false">
      <c r="B34" s="15" t="s">
        <v>41</v>
      </c>
      <c r="C34" s="15" t="s">
        <v>81</v>
      </c>
      <c r="D34" s="15" t="s">
        <v>43</v>
      </c>
      <c r="E34" s="15" t="s">
        <v>44</v>
      </c>
      <c r="F34" s="15" t="s">
        <v>37</v>
      </c>
      <c r="G34" s="15" t="s">
        <v>45</v>
      </c>
      <c r="H34" s="15" t="s">
        <v>46</v>
      </c>
      <c r="I34" s="15" t="s">
        <v>47</v>
      </c>
      <c r="J34" s="15" t="s">
        <v>48</v>
      </c>
      <c r="K34" s="15" t="s">
        <v>49</v>
      </c>
    </row>
    <row r="35" customFormat="false" ht="14.25" hidden="false" customHeight="false" outlineLevel="0" collapsed="false">
      <c r="B35" s="16" t="n">
        <v>0</v>
      </c>
      <c r="C35" s="13" t="n">
        <f aca="false">g_Di+g_Ds*B35</f>
        <v>525</v>
      </c>
      <c r="D35" s="14" t="n">
        <f aca="false">C35*B35</f>
        <v>0</v>
      </c>
      <c r="E35" s="14" t="n">
        <f aca="false">g_a*B35+g_b*B35^2</f>
        <v>0</v>
      </c>
      <c r="F35" s="14" t="n">
        <f aca="false">E35+g_FC</f>
        <v>130000000</v>
      </c>
      <c r="G35" s="14" t="n">
        <f aca="false">D35-F35</f>
        <v>-130000000</v>
      </c>
    </row>
    <row r="36" customFormat="false" ht="14.25" hidden="false" customHeight="false" outlineLevel="0" collapsed="false">
      <c r="B36" s="16" t="n">
        <v>2500000</v>
      </c>
      <c r="C36" s="13" t="n">
        <f aca="false">g_Di+g_Ds*B36</f>
        <v>508.25</v>
      </c>
      <c r="D36" s="14" t="n">
        <f aca="false">C36*B36</f>
        <v>1270625000</v>
      </c>
      <c r="E36" s="14" t="n">
        <f aca="false">g_a*B36+g_b*B36^2</f>
        <v>8750000</v>
      </c>
      <c r="F36" s="14" t="n">
        <f aca="false">E36+g_FC</f>
        <v>138750000</v>
      </c>
      <c r="G36" s="14" t="n">
        <f aca="false">D36-F36</f>
        <v>1131875000</v>
      </c>
      <c r="H36" s="13" t="n">
        <f aca="false">(D36-D35)/(B36-B35)</f>
        <v>508.25</v>
      </c>
      <c r="I36" s="13" t="n">
        <f aca="false">(F36-F35)/(B36-B35)</f>
        <v>3.5</v>
      </c>
      <c r="J36" s="5" t="str">
        <f aca="false">IF(AND(H36&gt;I36,H37&lt;=I37),"&lt;-- MR ~ MC","")</f>
        <v/>
      </c>
      <c r="K36" s="16" t="n">
        <f aca="false">(B36+B35)/2</f>
        <v>1250000</v>
      </c>
    </row>
    <row r="37" customFormat="false" ht="14.25" hidden="false" customHeight="false" outlineLevel="0" collapsed="false">
      <c r="B37" s="16" t="n">
        <v>5000000</v>
      </c>
      <c r="C37" s="13" t="n">
        <f aca="false">g_Di+g_Ds*B37</f>
        <v>491.5</v>
      </c>
      <c r="D37" s="14" t="n">
        <f aca="false">C37*B37</f>
        <v>2457500000</v>
      </c>
      <c r="E37" s="14" t="n">
        <f aca="false">g_a*B37+g_b*B37^2</f>
        <v>30000000</v>
      </c>
      <c r="F37" s="14" t="n">
        <f aca="false">E37+g_FC</f>
        <v>160000000</v>
      </c>
      <c r="G37" s="14" t="n">
        <f aca="false">D37-F37</f>
        <v>2297500000</v>
      </c>
      <c r="H37" s="13" t="n">
        <f aca="false">(D37-D36)/(B37-B36)</f>
        <v>474.75</v>
      </c>
      <c r="I37" s="13" t="n">
        <f aca="false">(F37-F36)/(B37-B36)</f>
        <v>8.5</v>
      </c>
      <c r="J37" s="5" t="str">
        <f aca="false">IF(AND(H37&gt;I37,H38&lt;=I38),"&lt;-- MR ~ MC","")</f>
        <v/>
      </c>
      <c r="K37" s="16" t="n">
        <f aca="false">(B37+B36)/2</f>
        <v>3750000</v>
      </c>
    </row>
    <row r="38" customFormat="false" ht="14.25" hidden="false" customHeight="false" outlineLevel="0" collapsed="false">
      <c r="B38" s="16" t="n">
        <v>7500000</v>
      </c>
      <c r="C38" s="13" t="n">
        <f aca="false">g_Di+g_Ds*B38</f>
        <v>474.75</v>
      </c>
      <c r="D38" s="14" t="n">
        <f aca="false">C38*B38</f>
        <v>3560625000</v>
      </c>
      <c r="E38" s="14" t="n">
        <f aca="false">g_a*B38+g_b*B38^2</f>
        <v>63750000</v>
      </c>
      <c r="F38" s="14" t="n">
        <f aca="false">E38+g_FC</f>
        <v>193750000</v>
      </c>
      <c r="G38" s="14" t="n">
        <f aca="false">D38-F38</f>
        <v>3366875000</v>
      </c>
      <c r="H38" s="13" t="n">
        <f aca="false">(D38-D37)/(B38-B37)</f>
        <v>441.25</v>
      </c>
      <c r="I38" s="13" t="n">
        <f aca="false">(F38-F37)/(B38-B37)</f>
        <v>13.5</v>
      </c>
      <c r="J38" s="5" t="str">
        <f aca="false">IF(AND(H38&gt;I38,H39&lt;=I39),"&lt;-- MR ~ MC","")</f>
        <v/>
      </c>
      <c r="K38" s="16" t="n">
        <f aca="false">(B38+B37)/2</f>
        <v>6250000</v>
      </c>
    </row>
    <row r="39" customFormat="false" ht="14.25" hidden="false" customHeight="false" outlineLevel="0" collapsed="false">
      <c r="B39" s="16" t="n">
        <v>10000000</v>
      </c>
      <c r="C39" s="13" t="n">
        <f aca="false">g_Di+g_Ds*B39</f>
        <v>458</v>
      </c>
      <c r="D39" s="14" t="n">
        <f aca="false">C39*B39</f>
        <v>4580000000</v>
      </c>
      <c r="E39" s="14" t="n">
        <f aca="false">g_a*B39+g_b*B39^2</f>
        <v>110000000</v>
      </c>
      <c r="F39" s="14" t="n">
        <f aca="false">E39+g_FC</f>
        <v>240000000</v>
      </c>
      <c r="G39" s="14" t="n">
        <f aca="false">D39-F39</f>
        <v>4340000000</v>
      </c>
      <c r="H39" s="13" t="n">
        <f aca="false">(D39-D38)/(B39-B38)</f>
        <v>407.75</v>
      </c>
      <c r="I39" s="13" t="n">
        <f aca="false">(F39-F38)/(B39-B38)</f>
        <v>18.5</v>
      </c>
      <c r="J39" s="5" t="str">
        <f aca="false">IF(AND(H39&gt;I39,H40&lt;=I40),"&lt;-- MR ~ MC","")</f>
        <v/>
      </c>
      <c r="K39" s="16" t="n">
        <f aca="false">(B39+B38)/2</f>
        <v>8750000</v>
      </c>
    </row>
    <row r="40" customFormat="false" ht="14.25" hidden="false" customHeight="false" outlineLevel="0" collapsed="false">
      <c r="B40" s="16" t="n">
        <v>12500000</v>
      </c>
      <c r="C40" s="13" t="n">
        <f aca="false">g_Di+g_Ds*B40</f>
        <v>441.25</v>
      </c>
      <c r="D40" s="14" t="n">
        <f aca="false">C40*B40</f>
        <v>5515625000</v>
      </c>
      <c r="E40" s="14" t="n">
        <f aca="false">g_a*B40+g_b*B40^2</f>
        <v>168750000</v>
      </c>
      <c r="F40" s="14" t="n">
        <f aca="false">E40+g_FC</f>
        <v>298750000</v>
      </c>
      <c r="G40" s="14" t="n">
        <f aca="false">D40-F40</f>
        <v>5216875000</v>
      </c>
      <c r="H40" s="13" t="n">
        <f aca="false">(D40-D39)/(B40-B39)</f>
        <v>374.25</v>
      </c>
      <c r="I40" s="13" t="n">
        <f aca="false">(F40-F39)/(B40-B39)</f>
        <v>23.5</v>
      </c>
      <c r="J40" s="5" t="str">
        <f aca="false">IF(AND(H40&gt;I40,H41&lt;=I41),"&lt;-- MR ~ MC","")</f>
        <v/>
      </c>
      <c r="K40" s="16" t="n">
        <f aca="false">(B40+B39)/2</f>
        <v>11250000</v>
      </c>
    </row>
    <row r="41" customFormat="false" ht="14.25" hidden="false" customHeight="false" outlineLevel="0" collapsed="false">
      <c r="B41" s="16" t="n">
        <v>15000000</v>
      </c>
      <c r="C41" s="13" t="n">
        <f aca="false">g_Di+g_Ds*B41</f>
        <v>424.5</v>
      </c>
      <c r="D41" s="14" t="n">
        <f aca="false">C41*B41</f>
        <v>6367500000</v>
      </c>
      <c r="E41" s="14" t="n">
        <f aca="false">g_a*B41+g_b*B41^2</f>
        <v>240000000</v>
      </c>
      <c r="F41" s="14" t="n">
        <f aca="false">E41+g_FC</f>
        <v>370000000</v>
      </c>
      <c r="G41" s="14" t="n">
        <f aca="false">D41-F41</f>
        <v>5997500000</v>
      </c>
      <c r="H41" s="13" t="n">
        <f aca="false">(D41-D40)/(B41-B40)</f>
        <v>340.75</v>
      </c>
      <c r="I41" s="13" t="n">
        <f aca="false">(F41-F40)/(B41-B40)</f>
        <v>28.5</v>
      </c>
      <c r="J41" s="5" t="str">
        <f aca="false">IF(AND(H41&gt;I41,H42&lt;=I42),"&lt;-- MR ~ MC","")</f>
        <v/>
      </c>
      <c r="K41" s="16" t="n">
        <f aca="false">(B41+B40)/2</f>
        <v>13750000</v>
      </c>
    </row>
    <row r="42" customFormat="false" ht="14.25" hidden="false" customHeight="false" outlineLevel="0" collapsed="false">
      <c r="B42" s="16" t="n">
        <v>17500000</v>
      </c>
      <c r="C42" s="13" t="n">
        <f aca="false">g_Di+g_Ds*B42</f>
        <v>407.75</v>
      </c>
      <c r="D42" s="14" t="n">
        <f aca="false">C42*B42</f>
        <v>7135625000</v>
      </c>
      <c r="E42" s="14" t="n">
        <f aca="false">g_a*B42+g_b*B42^2</f>
        <v>323750000</v>
      </c>
      <c r="F42" s="14" t="n">
        <f aca="false">E42+g_FC</f>
        <v>453750000</v>
      </c>
      <c r="G42" s="14" t="n">
        <f aca="false">D42-F42</f>
        <v>6681875000</v>
      </c>
      <c r="H42" s="13" t="n">
        <f aca="false">(D42-D41)/(B42-B41)</f>
        <v>307.25</v>
      </c>
      <c r="I42" s="13" t="n">
        <f aca="false">(F42-F41)/(B42-B41)</f>
        <v>33.5</v>
      </c>
      <c r="J42" s="5" t="str">
        <f aca="false">IF(AND(H42&gt;I42,H43&lt;=I43),"&lt;-- MR ~ MC","")</f>
        <v/>
      </c>
      <c r="K42" s="16" t="n">
        <f aca="false">(B42+B41)/2</f>
        <v>16250000</v>
      </c>
    </row>
    <row r="43" customFormat="false" ht="14.25" hidden="false" customHeight="false" outlineLevel="0" collapsed="false">
      <c r="B43" s="16" t="n">
        <v>20000000</v>
      </c>
      <c r="C43" s="13" t="n">
        <f aca="false">g_Di+g_Ds*B43</f>
        <v>391</v>
      </c>
      <c r="D43" s="14" t="n">
        <f aca="false">C43*B43</f>
        <v>7820000000</v>
      </c>
      <c r="E43" s="14" t="n">
        <f aca="false">g_a*B43+g_b*B43^2</f>
        <v>420000000</v>
      </c>
      <c r="F43" s="14" t="n">
        <f aca="false">E43+g_FC</f>
        <v>550000000</v>
      </c>
      <c r="G43" s="14" t="n">
        <f aca="false">D43-F43</f>
        <v>7270000000</v>
      </c>
      <c r="H43" s="13" t="n">
        <f aca="false">(D43-D42)/(B43-B42)</f>
        <v>273.75</v>
      </c>
      <c r="I43" s="13" t="n">
        <f aca="false">(F43-F42)/(B43-B42)</f>
        <v>38.5</v>
      </c>
      <c r="J43" s="5" t="str">
        <f aca="false">IF(AND(H43&gt;I43,H44&lt;=I44),"&lt;-- MR ~ MC","")</f>
        <v/>
      </c>
      <c r="K43" s="16" t="n">
        <f aca="false">(B43+B42)/2</f>
        <v>18750000</v>
      </c>
    </row>
    <row r="44" customFormat="false" ht="14.25" hidden="false" customHeight="false" outlineLevel="0" collapsed="false">
      <c r="B44" s="16" t="n">
        <v>22500000</v>
      </c>
      <c r="C44" s="13" t="n">
        <f aca="false">g_Di+g_Ds*B44</f>
        <v>374.25</v>
      </c>
      <c r="D44" s="14" t="n">
        <f aca="false">C44*B44</f>
        <v>8420625000</v>
      </c>
      <c r="E44" s="14" t="n">
        <f aca="false">g_a*B44+g_b*B44^2</f>
        <v>528750000</v>
      </c>
      <c r="F44" s="14" t="n">
        <f aca="false">E44+g_FC</f>
        <v>658750000</v>
      </c>
      <c r="G44" s="14" t="n">
        <f aca="false">D44-F44</f>
        <v>7761875000</v>
      </c>
      <c r="H44" s="13" t="n">
        <f aca="false">(D44-D43)/(B44-B43)</f>
        <v>240.25</v>
      </c>
      <c r="I44" s="13" t="n">
        <f aca="false">(F44-F43)/(B44-B43)</f>
        <v>43.5</v>
      </c>
      <c r="J44" s="5" t="str">
        <f aca="false">IF(AND(H44&gt;I44,H45&lt;=I45),"&lt;-- MR ~ MC","")</f>
        <v/>
      </c>
      <c r="K44" s="16" t="n">
        <f aca="false">(B44+B43)/2</f>
        <v>21250000</v>
      </c>
    </row>
    <row r="45" customFormat="false" ht="14.25" hidden="false" customHeight="false" outlineLevel="0" collapsed="false">
      <c r="B45" s="16" t="n">
        <v>25000000</v>
      </c>
      <c r="C45" s="13" t="n">
        <f aca="false">g_Di+g_Ds*B45</f>
        <v>357.5</v>
      </c>
      <c r="D45" s="14" t="n">
        <f aca="false">C45*B45</f>
        <v>8937500000</v>
      </c>
      <c r="E45" s="14" t="n">
        <f aca="false">g_a*B45+g_b*B45^2</f>
        <v>650000000</v>
      </c>
      <c r="F45" s="14" t="n">
        <f aca="false">E45+g_FC</f>
        <v>780000000</v>
      </c>
      <c r="G45" s="14" t="n">
        <f aca="false">D45-F45</f>
        <v>8157500000</v>
      </c>
      <c r="H45" s="13" t="n">
        <f aca="false">(D45-D44)/(B45-B44)</f>
        <v>206.75</v>
      </c>
      <c r="I45" s="13" t="n">
        <f aca="false">(F45-F44)/(B45-B44)</f>
        <v>48.5</v>
      </c>
      <c r="J45" s="5" t="str">
        <f aca="false">IF(AND(H45&gt;I45,H46&lt;=I46),"&lt;-- MR ~ MC","")</f>
        <v/>
      </c>
      <c r="K45" s="16" t="n">
        <f aca="false">(B45+B44)/2</f>
        <v>23750000</v>
      </c>
    </row>
    <row r="46" customFormat="false" ht="14.25" hidden="false" customHeight="false" outlineLevel="0" collapsed="false">
      <c r="B46" s="16" t="n">
        <v>27500000</v>
      </c>
      <c r="C46" s="13" t="n">
        <f aca="false">g_Di+g_Ds*B46</f>
        <v>340.75</v>
      </c>
      <c r="D46" s="14" t="n">
        <f aca="false">C46*B46</f>
        <v>9370625000</v>
      </c>
      <c r="E46" s="14" t="n">
        <f aca="false">g_a*B46+g_b*B46^2</f>
        <v>783750000</v>
      </c>
      <c r="F46" s="14" t="n">
        <f aca="false">E46+g_FC</f>
        <v>913750000</v>
      </c>
      <c r="G46" s="14" t="n">
        <f aca="false">D46-F46</f>
        <v>8456875000</v>
      </c>
      <c r="H46" s="13" t="n">
        <f aca="false">(D46-D45)/(B46-B45)</f>
        <v>173.25</v>
      </c>
      <c r="I46" s="13" t="n">
        <f aca="false">(F46-F45)/(B46-B45)</f>
        <v>53.5</v>
      </c>
      <c r="J46" s="5" t="str">
        <f aca="false">IF(AND(H46&gt;I46,H47&lt;=I47),"&lt;-- MR ~ MC","")</f>
        <v/>
      </c>
      <c r="K46" s="16" t="n">
        <f aca="false">(B46+B45)/2</f>
        <v>26250000</v>
      </c>
    </row>
    <row r="47" customFormat="false" ht="14.25" hidden="false" customHeight="false" outlineLevel="0" collapsed="false">
      <c r="B47" s="16" t="n">
        <v>30000000</v>
      </c>
      <c r="C47" s="13" t="n">
        <f aca="false">g_Di+g_Ds*B47</f>
        <v>324</v>
      </c>
      <c r="D47" s="14" t="n">
        <f aca="false">C47*B47</f>
        <v>9720000000</v>
      </c>
      <c r="E47" s="14" t="n">
        <f aca="false">g_a*B47+g_b*B47^2</f>
        <v>930000000</v>
      </c>
      <c r="F47" s="14" t="n">
        <f aca="false">E47+g_FC</f>
        <v>1060000000</v>
      </c>
      <c r="G47" s="14" t="n">
        <f aca="false">D47-F47</f>
        <v>8660000000</v>
      </c>
      <c r="H47" s="13" t="n">
        <f aca="false">(D47-D46)/(B47-B46)</f>
        <v>139.75</v>
      </c>
      <c r="I47" s="13" t="n">
        <f aca="false">(F47-F46)/(B47-B46)</f>
        <v>58.5</v>
      </c>
      <c r="J47" s="5" t="str">
        <f aca="false">IF(AND(H47&gt;I47,H48&lt;=I48),"&lt;-- MR ~ MC","")</f>
        <v/>
      </c>
      <c r="K47" s="16" t="n">
        <f aca="false">(B47+B46)/2</f>
        <v>28750000</v>
      </c>
    </row>
    <row r="48" customFormat="false" ht="14.25" hidden="false" customHeight="false" outlineLevel="0" collapsed="false">
      <c r="B48" s="16" t="n">
        <v>32500000</v>
      </c>
      <c r="C48" s="13" t="n">
        <f aca="false">g_Di+g_Ds*B48</f>
        <v>307.25</v>
      </c>
      <c r="D48" s="14" t="n">
        <f aca="false">C48*B48</f>
        <v>9985625000</v>
      </c>
      <c r="E48" s="14" t="n">
        <f aca="false">g_a*B48+g_b*B48^2</f>
        <v>1088750000</v>
      </c>
      <c r="F48" s="14" t="n">
        <f aca="false">E48+g_FC</f>
        <v>1218750000</v>
      </c>
      <c r="G48" s="14" t="n">
        <f aca="false">D48-F48</f>
        <v>8766875000</v>
      </c>
      <c r="H48" s="13" t="n">
        <f aca="false">(D48-D47)/(B48-B47)</f>
        <v>106.25</v>
      </c>
      <c r="I48" s="13" t="n">
        <f aca="false">(F48-F47)/(B48-B47)</f>
        <v>63.5</v>
      </c>
      <c r="J48" s="5" t="str">
        <f aca="false">IF(AND(H48&gt;I48,H49&lt;=I49),"&lt;-- MR ~ MC","")</f>
        <v/>
      </c>
      <c r="K48" s="16" t="n">
        <f aca="false">(B48+B47)/2</f>
        <v>31250000</v>
      </c>
    </row>
    <row r="49" customFormat="false" ht="14.25" hidden="false" customHeight="false" outlineLevel="0" collapsed="false">
      <c r="B49" s="16" t="n">
        <v>35000000</v>
      </c>
      <c r="C49" s="13" t="n">
        <f aca="false">g_Di+g_Ds*B49</f>
        <v>290.5</v>
      </c>
      <c r="D49" s="14" t="n">
        <f aca="false">C49*B49</f>
        <v>10167500000</v>
      </c>
      <c r="E49" s="14" t="n">
        <f aca="false">g_a*B49+g_b*B49^2</f>
        <v>1260000000</v>
      </c>
      <c r="F49" s="14" t="n">
        <f aca="false">E49+g_FC</f>
        <v>1390000000</v>
      </c>
      <c r="G49" s="14" t="n">
        <f aca="false">D49-F49</f>
        <v>8777500000</v>
      </c>
      <c r="H49" s="13" t="n">
        <f aca="false">(D49-D48)/(B49-B48)</f>
        <v>72.75</v>
      </c>
      <c r="I49" s="13" t="n">
        <f aca="false">(F49-F48)/(B49-B48)</f>
        <v>68.5</v>
      </c>
      <c r="J49" s="5" t="str">
        <f aca="false">IF(AND(H49&gt;I49,H50&lt;=I50),"&lt;-- MR ~ MC","")</f>
        <v>&lt;-- MR ~ MC</v>
      </c>
      <c r="K49" s="16" t="n">
        <f aca="false">(B49+B48)/2</f>
        <v>33750000</v>
      </c>
    </row>
    <row r="50" customFormat="false" ht="14.25" hidden="false" customHeight="false" outlineLevel="0" collapsed="false">
      <c r="B50" s="16" t="n">
        <v>37500000</v>
      </c>
      <c r="C50" s="13" t="n">
        <f aca="false">g_Di+g_Ds*B50</f>
        <v>273.75</v>
      </c>
      <c r="D50" s="14" t="n">
        <f aca="false">C50*B50</f>
        <v>10265625000</v>
      </c>
      <c r="E50" s="14" t="n">
        <f aca="false">g_a*B50+g_b*B50^2</f>
        <v>1443750000</v>
      </c>
      <c r="F50" s="14" t="n">
        <f aca="false">E50+g_FC</f>
        <v>1573750000</v>
      </c>
      <c r="G50" s="14" t="n">
        <f aca="false">D50-F50</f>
        <v>8691875000</v>
      </c>
      <c r="H50" s="13" t="n">
        <f aca="false">(D50-D49)/(B50-B49)</f>
        <v>39.25</v>
      </c>
      <c r="I50" s="13" t="n">
        <f aca="false">(F50-F49)/(B50-B49)</f>
        <v>73.5</v>
      </c>
      <c r="J50" s="5" t="str">
        <f aca="false">IF(AND(H50&gt;I50,H51&lt;=I51),"&lt;-- MR ~ MC","")</f>
        <v/>
      </c>
      <c r="K50" s="16" t="n">
        <f aca="false">(B50+B49)/2</f>
        <v>36250000</v>
      </c>
    </row>
    <row r="51" customFormat="false" ht="14.25" hidden="false" customHeight="false" outlineLevel="0" collapsed="false">
      <c r="B51" s="16" t="n">
        <v>40000000</v>
      </c>
      <c r="C51" s="13" t="n">
        <f aca="false">g_Di+g_Ds*B51</f>
        <v>257</v>
      </c>
      <c r="D51" s="14" t="n">
        <f aca="false">C51*B51</f>
        <v>10280000000</v>
      </c>
      <c r="E51" s="14" t="n">
        <f aca="false">g_a*B51+g_b*B51^2</f>
        <v>1640000000</v>
      </c>
      <c r="F51" s="14" t="n">
        <f aca="false">E51+g_FC</f>
        <v>1770000000</v>
      </c>
      <c r="G51" s="14" t="n">
        <f aca="false">D51-F51</f>
        <v>8510000000</v>
      </c>
      <c r="H51" s="13" t="n">
        <f aca="false">(D51-D50)/(B51-B50)</f>
        <v>5.75</v>
      </c>
      <c r="I51" s="13" t="n">
        <f aca="false">(F51-F50)/(B51-B50)</f>
        <v>78.5</v>
      </c>
      <c r="J51" s="5" t="str">
        <f aca="false">IF(AND(H51&gt;I51,H52&lt;=I52),"&lt;-- MR ~ MC","")</f>
        <v/>
      </c>
      <c r="K51" s="16" t="n">
        <f aca="false">(B51+B50)/2</f>
        <v>38750000</v>
      </c>
    </row>
    <row r="52" customFormat="false" ht="14.25" hidden="false" customHeight="false" outlineLevel="0" collapsed="false">
      <c r="B52" s="16" t="n">
        <v>42500000</v>
      </c>
      <c r="C52" s="13" t="n">
        <f aca="false">g_Di+g_Ds*B52</f>
        <v>240.25</v>
      </c>
      <c r="D52" s="14" t="n">
        <f aca="false">C52*B52</f>
        <v>10210625000</v>
      </c>
      <c r="E52" s="14" t="n">
        <f aca="false">g_a*B52+g_b*B52^2</f>
        <v>1848750000</v>
      </c>
      <c r="F52" s="14" t="n">
        <f aca="false">E52+g_FC</f>
        <v>1978750000</v>
      </c>
      <c r="G52" s="14" t="n">
        <f aca="false">D52-F52</f>
        <v>8231875000</v>
      </c>
      <c r="H52" s="13" t="n">
        <f aca="false">(D52-D51)/(B52-B51)</f>
        <v>-27.75</v>
      </c>
      <c r="I52" s="13" t="n">
        <f aca="false">(F52-F51)/(B52-B51)</f>
        <v>83.5</v>
      </c>
      <c r="J52" s="5" t="str">
        <f aca="false">IF(AND(H52&gt;I52,H53&lt;=I53),"&lt;-- MR ~ MC","")</f>
        <v/>
      </c>
      <c r="K52" s="16" t="n">
        <f aca="false">(B52+B51)/2</f>
        <v>41250000</v>
      </c>
    </row>
    <row r="53" customFormat="false" ht="14.25" hidden="false" customHeight="false" outlineLevel="0" collapsed="false">
      <c r="B53" s="16" t="n">
        <v>45000000</v>
      </c>
      <c r="C53" s="13" t="n">
        <f aca="false">g_Di+g_Ds*B53</f>
        <v>223.5</v>
      </c>
      <c r="D53" s="14" t="n">
        <f aca="false">C53*B53</f>
        <v>10057500000</v>
      </c>
      <c r="E53" s="14" t="n">
        <f aca="false">g_a*B53+g_b*B53^2</f>
        <v>2070000000</v>
      </c>
      <c r="F53" s="14" t="n">
        <f aca="false">E53+g_FC</f>
        <v>2200000000</v>
      </c>
      <c r="G53" s="14" t="n">
        <f aca="false">D53-F53</f>
        <v>7857500000</v>
      </c>
      <c r="H53" s="13" t="n">
        <f aca="false">(D53-D52)/(B53-B52)</f>
        <v>-61.25</v>
      </c>
      <c r="I53" s="13" t="n">
        <f aca="false">(F53-F52)/(B53-B52)</f>
        <v>88.5</v>
      </c>
      <c r="J53" s="5" t="str">
        <f aca="false">IF(AND(H53&gt;I53,H54&lt;=I54),"&lt;-- MR ~ MC","")</f>
        <v/>
      </c>
      <c r="K53" s="16" t="n">
        <f aca="false">(B53+B52)/2</f>
        <v>43750000</v>
      </c>
    </row>
    <row r="54" customFormat="false" ht="14.25" hidden="false" customHeight="false" outlineLevel="0" collapsed="false">
      <c r="B54" s="16" t="n">
        <v>47500000</v>
      </c>
      <c r="C54" s="13" t="n">
        <f aca="false">g_Di+g_Ds*B54</f>
        <v>206.75</v>
      </c>
      <c r="D54" s="14" t="n">
        <f aca="false">C54*B54</f>
        <v>9820625000</v>
      </c>
      <c r="E54" s="14" t="n">
        <f aca="false">g_a*B54+g_b*B54^2</f>
        <v>2303750000</v>
      </c>
      <c r="F54" s="14" t="n">
        <f aca="false">E54+g_FC</f>
        <v>2433750000</v>
      </c>
      <c r="G54" s="14" t="n">
        <f aca="false">D54-F54</f>
        <v>7386875000</v>
      </c>
      <c r="H54" s="13" t="n">
        <f aca="false">(D54-D53)/(B54-B53)</f>
        <v>-94.75</v>
      </c>
      <c r="I54" s="13" t="n">
        <f aca="false">(F54-F53)/(B54-B53)</f>
        <v>93.5</v>
      </c>
      <c r="J54" s="5" t="str">
        <f aca="false">IF(AND(H54&gt;I54,H55&lt;=I55),"&lt;-- MR ~ MC","")</f>
        <v/>
      </c>
      <c r="K54" s="16" t="n">
        <f aca="false">(B54+B53)/2</f>
        <v>46250000</v>
      </c>
    </row>
    <row r="55" customFormat="false" ht="14.25" hidden="false" customHeight="false" outlineLevel="0" collapsed="false">
      <c r="B55" s="16" t="n">
        <v>50000000</v>
      </c>
      <c r="C55" s="13" t="n">
        <f aca="false">g_Di+g_Ds*B55</f>
        <v>190</v>
      </c>
      <c r="D55" s="14" t="n">
        <f aca="false">C55*B55</f>
        <v>9500000000</v>
      </c>
      <c r="E55" s="14" t="n">
        <f aca="false">g_a*B55+g_b*B55^2</f>
        <v>2550000000</v>
      </c>
      <c r="F55" s="14" t="n">
        <f aca="false">E55+g_FC</f>
        <v>2680000000</v>
      </c>
      <c r="G55" s="14" t="n">
        <f aca="false">D55-F55</f>
        <v>6820000000</v>
      </c>
      <c r="H55" s="13" t="n">
        <f aca="false">(D55-D54)/(B55-B54)</f>
        <v>-128.25</v>
      </c>
      <c r="I55" s="13" t="n">
        <f aca="false">(F55-F54)/(B55-B54)</f>
        <v>98.5</v>
      </c>
      <c r="J55" s="5" t="str">
        <f aca="false">IF(AND(H55&gt;I55,H56&lt;=I56),"&lt;-- MR ~ MC","")</f>
        <v/>
      </c>
      <c r="K55" s="16" t="n">
        <f aca="false">(B55+B54)/2</f>
        <v>48750000</v>
      </c>
    </row>
    <row r="56" customFormat="false" ht="14.25" hidden="false" customHeight="false" outlineLevel="0" collapsed="false">
      <c r="B56" s="16" t="n">
        <v>52500000</v>
      </c>
      <c r="C56" s="13" t="n">
        <f aca="false">g_Di+g_Ds*B56</f>
        <v>173.25</v>
      </c>
      <c r="D56" s="14" t="n">
        <f aca="false">C56*B56</f>
        <v>9095625000</v>
      </c>
      <c r="E56" s="14" t="n">
        <f aca="false">g_a*B56+g_b*B56^2</f>
        <v>2808750000</v>
      </c>
      <c r="F56" s="14" t="n">
        <f aca="false">E56+g_FC</f>
        <v>2938750000</v>
      </c>
      <c r="G56" s="14" t="n">
        <f aca="false">D56-F56</f>
        <v>6156875000</v>
      </c>
      <c r="H56" s="13" t="n">
        <f aca="false">(D56-D55)/(B56-B55)</f>
        <v>-161.75</v>
      </c>
      <c r="I56" s="13" t="n">
        <f aca="false">(F56-F55)/(B56-B55)</f>
        <v>103.5</v>
      </c>
      <c r="J56" s="5" t="str">
        <f aca="false">IF(AND(H56&gt;I56,H57&lt;=I57),"&lt;-- MR ~ MC","")</f>
        <v/>
      </c>
      <c r="K56" s="16" t="n">
        <f aca="false">(B56+B55)/2</f>
        <v>51250000</v>
      </c>
    </row>
    <row r="57" customFormat="false" ht="14.25" hidden="false" customHeight="false" outlineLevel="0" collapsed="false">
      <c r="B57" s="16" t="n">
        <v>55000000</v>
      </c>
      <c r="C57" s="13" t="n">
        <f aca="false">g_Di+g_Ds*B57</f>
        <v>156.5</v>
      </c>
      <c r="D57" s="14" t="n">
        <f aca="false">C57*B57</f>
        <v>8607500000</v>
      </c>
      <c r="E57" s="14" t="n">
        <f aca="false">g_a*B57+g_b*B57^2</f>
        <v>3080000000</v>
      </c>
      <c r="F57" s="14" t="n">
        <f aca="false">E57+g_FC</f>
        <v>3210000000</v>
      </c>
      <c r="G57" s="14" t="n">
        <f aca="false">D57-F57</f>
        <v>5397500000</v>
      </c>
      <c r="H57" s="13" t="n">
        <f aca="false">(D57-D56)/(B57-B56)</f>
        <v>-195.25</v>
      </c>
      <c r="I57" s="13" t="n">
        <f aca="false">(F57-F56)/(B57-B56)</f>
        <v>108.5</v>
      </c>
      <c r="J57" s="5" t="str">
        <f aca="false">IF(AND(H57&gt;I57,H58&lt;=I58),"&lt;-- MR ~ MC","")</f>
        <v/>
      </c>
      <c r="K57" s="16" t="n">
        <f aca="false">(B57+B56)/2</f>
        <v>53750000</v>
      </c>
    </row>
    <row r="58" customFormat="false" ht="14.25" hidden="false" customHeight="false" outlineLevel="0" collapsed="false">
      <c r="B58" s="16" t="n">
        <v>57500000</v>
      </c>
      <c r="C58" s="13" t="n">
        <f aca="false">g_Di+g_Ds*B58</f>
        <v>139.75</v>
      </c>
      <c r="D58" s="14" t="n">
        <f aca="false">C58*B58</f>
        <v>8035625000</v>
      </c>
      <c r="E58" s="14" t="n">
        <f aca="false">g_a*B58+g_b*B58^2</f>
        <v>3363750000</v>
      </c>
      <c r="F58" s="14" t="n">
        <f aca="false">E58+g_FC</f>
        <v>3493750000</v>
      </c>
      <c r="G58" s="14" t="n">
        <f aca="false">D58-F58</f>
        <v>4541875000</v>
      </c>
      <c r="H58" s="13" t="n">
        <f aca="false">(D58-D57)/(B58-B57)</f>
        <v>-228.75</v>
      </c>
      <c r="I58" s="13" t="n">
        <f aca="false">(F58-F57)/(B58-B57)</f>
        <v>113.5</v>
      </c>
      <c r="J58" s="5" t="str">
        <f aca="false">IF(AND(H58&gt;I58,H59&lt;=I59),"&lt;-- MR ~ MC","")</f>
        <v/>
      </c>
      <c r="K58" s="16" t="n">
        <f aca="false">(B58+B57)/2</f>
        <v>56250000</v>
      </c>
    </row>
    <row r="59" customFormat="false" ht="14.25" hidden="false" customHeight="false" outlineLevel="0" collapsed="false">
      <c r="B59" s="16" t="n">
        <v>60000000</v>
      </c>
      <c r="C59" s="13" t="n">
        <f aca="false">g_Di+g_Ds*B59</f>
        <v>123</v>
      </c>
      <c r="D59" s="14" t="n">
        <f aca="false">C59*B59</f>
        <v>7380000000</v>
      </c>
      <c r="E59" s="14" t="n">
        <f aca="false">g_a*B59+g_b*B59^2</f>
        <v>3660000000</v>
      </c>
      <c r="F59" s="14" t="n">
        <f aca="false">E59+g_FC</f>
        <v>3790000000</v>
      </c>
      <c r="G59" s="14" t="n">
        <f aca="false">D59-F59</f>
        <v>3590000000</v>
      </c>
      <c r="H59" s="13" t="n">
        <f aca="false">(D59-D58)/(B59-B58)</f>
        <v>-262.25</v>
      </c>
      <c r="I59" s="13" t="n">
        <f aca="false">(F59-F58)/(B59-B58)</f>
        <v>118.5</v>
      </c>
      <c r="K59" s="16" t="n">
        <f aca="false">(B59+B58)/2</f>
        <v>58750000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2026-07-07T20:02:11Z</dcterms:created>
  <dc:creator>openpyxl</dc:creator>
  <dc:description/>
  <dc:language>en-US</dc:language>
  <cp:lastModifiedBy/>
  <dcterms:modified xsi:type="dcterms:W3CDTF">2026-07-31T12:33:51Z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