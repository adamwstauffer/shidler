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shidler\courses\BUS-620-Micro-And-Macro-Economics\ignore\in-progess\imperfect-competition-marginal-revenue\"/>
    </mc:Choice>
  </mc:AlternateContent>
  <xr:revisionPtr revIDLastSave="0" documentId="13_ncr:1_{3C2E3585-3678-4CDF-BA64-4C2DA7164B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NonGMO Perfect" sheetId="2" r:id="rId2"/>
    <sheet name="GMO Monopoly" sheetId="3" r:id="rId3"/>
  </sheets>
  <definedNames>
    <definedName name="g_a">'GMO Monopoly'!$C$7</definedName>
    <definedName name="g_b">'GMO Monopoly'!$C$8</definedName>
    <definedName name="g_Di">'GMO Monopoly'!$C$5</definedName>
    <definedName name="g_Ds">'GMO Monopoly'!$C$6</definedName>
    <definedName name="g_FC">'GMO Monopoly'!$C$9</definedName>
    <definedName name="g_Popt">'GMO Monopoly'!$C$18</definedName>
    <definedName name="g_Qopt">'GMO Monopoly'!$C$17</definedName>
    <definedName name="ng_a">'NonGMO Perfect'!$C$6</definedName>
    <definedName name="ng_b">'NonGMO Perfect'!$C$7</definedName>
    <definedName name="ng_FC">'NonGMO Perfect'!$C$8</definedName>
    <definedName name="ng_P">'NonGMO Perfect'!$C$5</definedName>
    <definedName name="ng_Qopt">'NonGMO Perfect'!$C$12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" i="3" l="1"/>
  <c r="E59" i="3"/>
  <c r="F59" i="3" s="1"/>
  <c r="C59" i="3"/>
  <c r="D59" i="3" s="1"/>
  <c r="G59" i="3" s="1"/>
  <c r="K58" i="3"/>
  <c r="E58" i="3"/>
  <c r="F58" i="3" s="1"/>
  <c r="C58" i="3"/>
  <c r="D58" i="3" s="1"/>
  <c r="K57" i="3"/>
  <c r="E57" i="3"/>
  <c r="F57" i="3" s="1"/>
  <c r="C57" i="3"/>
  <c r="D57" i="3" s="1"/>
  <c r="K56" i="3"/>
  <c r="E56" i="3"/>
  <c r="F56" i="3" s="1"/>
  <c r="C56" i="3"/>
  <c r="D56" i="3" s="1"/>
  <c r="K55" i="3"/>
  <c r="E55" i="3"/>
  <c r="F55" i="3" s="1"/>
  <c r="C55" i="3"/>
  <c r="D55" i="3" s="1"/>
  <c r="K54" i="3"/>
  <c r="E54" i="3"/>
  <c r="F54" i="3" s="1"/>
  <c r="I54" i="3" s="1"/>
  <c r="C54" i="3"/>
  <c r="D54" i="3" s="1"/>
  <c r="K53" i="3"/>
  <c r="E53" i="3"/>
  <c r="F53" i="3" s="1"/>
  <c r="C53" i="3"/>
  <c r="D53" i="3" s="1"/>
  <c r="K52" i="3"/>
  <c r="E52" i="3"/>
  <c r="F52" i="3" s="1"/>
  <c r="C52" i="3"/>
  <c r="D52" i="3" s="1"/>
  <c r="K51" i="3"/>
  <c r="E51" i="3"/>
  <c r="F51" i="3" s="1"/>
  <c r="C51" i="3"/>
  <c r="D51" i="3" s="1"/>
  <c r="K50" i="3"/>
  <c r="E50" i="3"/>
  <c r="F50" i="3" s="1"/>
  <c r="C50" i="3"/>
  <c r="D50" i="3" s="1"/>
  <c r="K49" i="3"/>
  <c r="E49" i="3"/>
  <c r="F49" i="3" s="1"/>
  <c r="C49" i="3"/>
  <c r="D49" i="3" s="1"/>
  <c r="K48" i="3"/>
  <c r="E48" i="3"/>
  <c r="F48" i="3" s="1"/>
  <c r="C48" i="3"/>
  <c r="D48" i="3" s="1"/>
  <c r="K47" i="3"/>
  <c r="E47" i="3"/>
  <c r="F47" i="3" s="1"/>
  <c r="C47" i="3"/>
  <c r="D47" i="3" s="1"/>
  <c r="K46" i="3"/>
  <c r="E46" i="3"/>
  <c r="F46" i="3" s="1"/>
  <c r="C46" i="3"/>
  <c r="D46" i="3" s="1"/>
  <c r="K45" i="3"/>
  <c r="E45" i="3"/>
  <c r="F45" i="3" s="1"/>
  <c r="C45" i="3"/>
  <c r="D45" i="3" s="1"/>
  <c r="K44" i="3"/>
  <c r="E44" i="3"/>
  <c r="F44" i="3" s="1"/>
  <c r="C44" i="3"/>
  <c r="D44" i="3" s="1"/>
  <c r="K43" i="3"/>
  <c r="E43" i="3"/>
  <c r="F43" i="3" s="1"/>
  <c r="C43" i="3"/>
  <c r="D43" i="3" s="1"/>
  <c r="K42" i="3"/>
  <c r="E42" i="3"/>
  <c r="F42" i="3" s="1"/>
  <c r="C42" i="3"/>
  <c r="D42" i="3" s="1"/>
  <c r="H42" i="3" s="1"/>
  <c r="K41" i="3"/>
  <c r="E41" i="3"/>
  <c r="F41" i="3" s="1"/>
  <c r="C41" i="3"/>
  <c r="D41" i="3" s="1"/>
  <c r="K40" i="3"/>
  <c r="E40" i="3"/>
  <c r="F40" i="3" s="1"/>
  <c r="C40" i="3"/>
  <c r="D40" i="3" s="1"/>
  <c r="K39" i="3"/>
  <c r="E39" i="3"/>
  <c r="F39" i="3" s="1"/>
  <c r="C39" i="3"/>
  <c r="D39" i="3" s="1"/>
  <c r="K38" i="3"/>
  <c r="E38" i="3"/>
  <c r="F38" i="3" s="1"/>
  <c r="C38" i="3"/>
  <c r="D38" i="3" s="1"/>
  <c r="K37" i="3"/>
  <c r="E37" i="3"/>
  <c r="F37" i="3" s="1"/>
  <c r="C37" i="3"/>
  <c r="D37" i="3" s="1"/>
  <c r="K36" i="3"/>
  <c r="E36" i="3"/>
  <c r="F36" i="3" s="1"/>
  <c r="C36" i="3"/>
  <c r="D36" i="3" s="1"/>
  <c r="E35" i="3"/>
  <c r="F35" i="3" s="1"/>
  <c r="C35" i="3"/>
  <c r="D35" i="3" s="1"/>
  <c r="C30" i="3"/>
  <c r="C29" i="3"/>
  <c r="C17" i="3"/>
  <c r="C22" i="3" s="1"/>
  <c r="C14" i="3"/>
  <c r="C13" i="3"/>
  <c r="K37" i="2"/>
  <c r="E37" i="2"/>
  <c r="F37" i="2" s="1"/>
  <c r="C37" i="2"/>
  <c r="D37" i="2" s="1"/>
  <c r="K36" i="2"/>
  <c r="E36" i="2"/>
  <c r="F36" i="2" s="1"/>
  <c r="C36" i="2"/>
  <c r="D36" i="2" s="1"/>
  <c r="K35" i="2"/>
  <c r="E35" i="2"/>
  <c r="F35" i="2" s="1"/>
  <c r="C35" i="2"/>
  <c r="D35" i="2" s="1"/>
  <c r="K34" i="2"/>
  <c r="E34" i="2"/>
  <c r="F34" i="2" s="1"/>
  <c r="C34" i="2"/>
  <c r="D34" i="2" s="1"/>
  <c r="K33" i="2"/>
  <c r="E33" i="2"/>
  <c r="F33" i="2" s="1"/>
  <c r="C33" i="2"/>
  <c r="D33" i="2" s="1"/>
  <c r="G33" i="2" s="1"/>
  <c r="K32" i="2"/>
  <c r="E32" i="2"/>
  <c r="F32" i="2" s="1"/>
  <c r="C32" i="2"/>
  <c r="D32" i="2" s="1"/>
  <c r="K31" i="2"/>
  <c r="E31" i="2"/>
  <c r="F31" i="2" s="1"/>
  <c r="C31" i="2"/>
  <c r="D31" i="2" s="1"/>
  <c r="K30" i="2"/>
  <c r="E30" i="2"/>
  <c r="F30" i="2" s="1"/>
  <c r="C30" i="2"/>
  <c r="D30" i="2" s="1"/>
  <c r="K29" i="2"/>
  <c r="E29" i="2"/>
  <c r="F29" i="2" s="1"/>
  <c r="C29" i="2"/>
  <c r="D29" i="2" s="1"/>
  <c r="K28" i="2"/>
  <c r="E28" i="2"/>
  <c r="F28" i="2" s="1"/>
  <c r="C28" i="2"/>
  <c r="D28" i="2" s="1"/>
  <c r="K27" i="2"/>
  <c r="E27" i="2"/>
  <c r="F27" i="2" s="1"/>
  <c r="C27" i="2"/>
  <c r="D27" i="2" s="1"/>
  <c r="K26" i="2"/>
  <c r="E26" i="2"/>
  <c r="F26" i="2" s="1"/>
  <c r="C26" i="2"/>
  <c r="D26" i="2" s="1"/>
  <c r="K25" i="2"/>
  <c r="E25" i="2"/>
  <c r="F25" i="2" s="1"/>
  <c r="C25" i="2"/>
  <c r="D25" i="2" s="1"/>
  <c r="K24" i="2"/>
  <c r="E24" i="2"/>
  <c r="F24" i="2" s="1"/>
  <c r="C24" i="2"/>
  <c r="D24" i="2" s="1"/>
  <c r="K23" i="2"/>
  <c r="E23" i="2"/>
  <c r="F23" i="2" s="1"/>
  <c r="C23" i="2"/>
  <c r="D23" i="2" s="1"/>
  <c r="K22" i="2"/>
  <c r="E22" i="2"/>
  <c r="F22" i="2" s="1"/>
  <c r="C22" i="2"/>
  <c r="D22" i="2" s="1"/>
  <c r="E21" i="2"/>
  <c r="F21" i="2" s="1"/>
  <c r="C21" i="2"/>
  <c r="D21" i="2" s="1"/>
  <c r="C12" i="2"/>
  <c r="C17" i="2" s="1"/>
  <c r="I36" i="3" l="1"/>
  <c r="I48" i="3"/>
  <c r="I22" i="2"/>
  <c r="I30" i="2"/>
  <c r="I42" i="3"/>
  <c r="C16" i="2"/>
  <c r="G21" i="2"/>
  <c r="I45" i="3"/>
  <c r="C14" i="2"/>
  <c r="C15" i="2"/>
  <c r="I26" i="2"/>
  <c r="C23" i="3"/>
  <c r="I35" i="2"/>
  <c r="C13" i="2"/>
  <c r="I53" i="3"/>
  <c r="H48" i="3"/>
  <c r="G48" i="3"/>
  <c r="H24" i="2"/>
  <c r="G24" i="2"/>
  <c r="H43" i="3"/>
  <c r="J42" i="3" s="1"/>
  <c r="G43" i="3"/>
  <c r="G55" i="3"/>
  <c r="H55" i="3"/>
  <c r="I37" i="2"/>
  <c r="H51" i="3"/>
  <c r="G51" i="3"/>
  <c r="H30" i="2"/>
  <c r="G30" i="2"/>
  <c r="H54" i="3"/>
  <c r="G54" i="3"/>
  <c r="H37" i="3"/>
  <c r="G37" i="3"/>
  <c r="H25" i="2"/>
  <c r="G25" i="2"/>
  <c r="I55" i="3"/>
  <c r="I32" i="2"/>
  <c r="I56" i="3"/>
  <c r="H39" i="3"/>
  <c r="I39" i="3"/>
  <c r="I57" i="3"/>
  <c r="I40" i="3"/>
  <c r="H34" i="2"/>
  <c r="G34" i="2"/>
  <c r="H52" i="3"/>
  <c r="G52" i="3"/>
  <c r="I28" i="2"/>
  <c r="I34" i="2"/>
  <c r="G35" i="3"/>
  <c r="I41" i="3"/>
  <c r="H47" i="3"/>
  <c r="H36" i="2"/>
  <c r="H37" i="2"/>
  <c r="G36" i="2"/>
  <c r="I36" i="2"/>
  <c r="I31" i="2"/>
  <c r="J30" i="2" s="1"/>
  <c r="H38" i="3"/>
  <c r="G38" i="3"/>
  <c r="I49" i="3"/>
  <c r="H44" i="3"/>
  <c r="G44" i="3"/>
  <c r="H26" i="2"/>
  <c r="G26" i="2"/>
  <c r="I44" i="3"/>
  <c r="I50" i="3"/>
  <c r="G50" i="3"/>
  <c r="H57" i="3"/>
  <c r="G57" i="3"/>
  <c r="H27" i="2"/>
  <c r="G27" i="2"/>
  <c r="I33" i="2"/>
  <c r="J33" i="2" s="1"/>
  <c r="I52" i="3"/>
  <c r="I51" i="3"/>
  <c r="G46" i="3"/>
  <c r="H46" i="3"/>
  <c r="H28" i="2"/>
  <c r="G28" i="2"/>
  <c r="J22" i="2"/>
  <c r="H41" i="3"/>
  <c r="G41" i="3"/>
  <c r="H29" i="2"/>
  <c r="G29" i="2"/>
  <c r="G53" i="3"/>
  <c r="H53" i="3"/>
  <c r="I59" i="3"/>
  <c r="I25" i="2"/>
  <c r="I24" i="2"/>
  <c r="J24" i="2" s="1"/>
  <c r="H31" i="2"/>
  <c r="G31" i="2"/>
  <c r="I37" i="3"/>
  <c r="H50" i="3"/>
  <c r="H49" i="3"/>
  <c r="G49" i="3"/>
  <c r="I43" i="3"/>
  <c r="I38" i="3"/>
  <c r="H32" i="2"/>
  <c r="H56" i="3"/>
  <c r="G56" i="3"/>
  <c r="H45" i="3"/>
  <c r="G45" i="3"/>
  <c r="I27" i="2"/>
  <c r="H40" i="3"/>
  <c r="G40" i="3"/>
  <c r="G22" i="2"/>
  <c r="H23" i="2"/>
  <c r="H22" i="2"/>
  <c r="H59" i="3"/>
  <c r="H58" i="3"/>
  <c r="G58" i="3"/>
  <c r="I46" i="3"/>
  <c r="I58" i="3"/>
  <c r="I29" i="2"/>
  <c r="J29" i="2" s="1"/>
  <c r="I47" i="3"/>
  <c r="I23" i="2"/>
  <c r="G23" i="2"/>
  <c r="G35" i="2"/>
  <c r="H36" i="3"/>
  <c r="G37" i="2"/>
  <c r="G42" i="3"/>
  <c r="H35" i="2"/>
  <c r="H33" i="2"/>
  <c r="C18" i="3"/>
  <c r="G47" i="3"/>
  <c r="C19" i="3"/>
  <c r="G36" i="3"/>
  <c r="C20" i="3"/>
  <c r="G32" i="2"/>
  <c r="G39" i="3"/>
  <c r="J55" i="3" l="1"/>
  <c r="J36" i="2"/>
  <c r="J46" i="3"/>
  <c r="J50" i="3"/>
  <c r="J49" i="3"/>
  <c r="J47" i="3"/>
  <c r="J34" i="2"/>
  <c r="J54" i="3"/>
  <c r="J25" i="2"/>
  <c r="J37" i="3"/>
  <c r="J45" i="3"/>
  <c r="J41" i="3"/>
  <c r="J39" i="3"/>
  <c r="J58" i="3"/>
  <c r="J28" i="2"/>
  <c r="J35" i="2"/>
  <c r="J40" i="3"/>
  <c r="J27" i="2"/>
  <c r="J36" i="3"/>
  <c r="J43" i="3"/>
  <c r="J38" i="3"/>
  <c r="J32" i="2"/>
  <c r="J57" i="3"/>
  <c r="C31" i="3"/>
  <c r="C26" i="3"/>
  <c r="C25" i="3"/>
  <c r="C24" i="3"/>
  <c r="C21" i="3"/>
  <c r="J52" i="3"/>
  <c r="J51" i="3"/>
  <c r="J53" i="3"/>
  <c r="J26" i="2"/>
  <c r="J44" i="3"/>
  <c r="J56" i="3"/>
  <c r="J23" i="2"/>
  <c r="J31" i="2"/>
  <c r="J48" i="3"/>
</calcChain>
</file>

<file path=xl/sharedStrings.xml><?xml version="1.0" encoding="utf-8"?>
<sst xmlns="http://schemas.openxmlformats.org/spreadsheetml/2006/main" count="113" uniqueCount="89">
  <si>
    <t>Monsanto Seed Market — Perfect vs Imperfect Competition (INSTRUCTOR KEY)</t>
  </si>
  <si>
    <t>BUS 620 · Micro &amp; Macro Economics · Shidler College of Business</t>
  </si>
  <si>
    <t>Two sheets, one company, two market structures. 'NonGMO Perfect': Monsanto sells commodity corn seed at the market price ($120/bag) — a price taker, P = MC. 'GMO Monopoly': patented Roundup Ready corn gives downward-sloping demand — now selling one more bag lowers the price on every bag, so marginal revenue falls twice as fast as demand, and the rule becomes MR = MC.</t>
  </si>
  <si>
    <t>HOW TO USE</t>
  </si>
  <si>
    <t>1. Blue cells are inputs; black cells are formulas. Yellow cells are the answers you compute (the instructor key has them filled).</t>
  </si>
  <si>
    <t>2. Cost structure on both sheets: TVC = a·Q + b·Q², so MC = a + 2b·Q. Variable cost is the AREA UNDER the MC curve — never MC × Q. (The old v9 workbook made exactly that error and understated GMO profit by ~$1.1bn.)</t>
  </si>
  <si>
    <t>3. On the GMO sheet, derive MR from demand (same intercept, twice the slope), set MR = MC for Q*, then read P* off the DEMAND curve — not off MR. Reading price off MR is the classic mistake.</t>
  </si>
  <si>
    <t>4. The decision tables tabulate every quantity so you can SEE the marker row where the optimum lives; the charts plot D, MR, and MC.</t>
  </si>
  <si>
    <t>5. Compare: competitive GMO benchmark (P = MC) gives Q ≈ 60.2m bags at ~$121 — almost exactly the non-GMO price. Monopoly cuts output to ~34.0m, prices at ~$297, and society loses ~$3.0bn of surplus (the DWL block).</t>
  </si>
  <si>
    <t>REAL-WORLD ANCHORS (validated 2026-07; see project README.md for sources)</t>
  </si>
  <si>
    <t>GMO corn seed ≈ $250–305/bag vs non-GMO ≈ $85–150 (case uses $270 vs $120; the $150 trait premium is mid-range). A bag = 80,000 kernels ≈ 2.5 acres. Monsanto traits were planted on ~80% of U.S. corn and 90%+ of soybean acres. Bayer closed its $63bn acquisition June 2018 after the largest U.S. antitrust divestiture ever (~$9bn to BASF).</t>
  </si>
  <si>
    <t>MODEL NOTE</t>
  </si>
  <si>
    <t>The case docx quotes MC = 0.000029·Q (non-GMO) and 0.00000196·Q (GMO). Those were regression artifacts of the old workbook's tables. This workbook defines TVC = a·Q + b·Q² directly (a = $1, b = 0.000015 and 0.000001) so MC, totals, and optima are exactly self-consistent.</t>
  </si>
  <si>
    <t>Non-GMO corn seed — perfect competition (price taker)</t>
  </si>
  <si>
    <t>ASSUMPTIONS</t>
  </si>
  <si>
    <t>Market price P ($/bag)</t>
  </si>
  <si>
    <t>flat demand: the market sets it</t>
  </si>
  <si>
    <t>MC intercept a ($/bag)</t>
  </si>
  <si>
    <t>TVC = a·Q + b·Q²  →  MC = a + 2b·Q</t>
  </si>
  <si>
    <t>MC curvature b</t>
  </si>
  <si>
    <t>diminishing returns in seed production</t>
  </si>
  <si>
    <t>Fixed costs ($)</t>
  </si>
  <si>
    <t>seeds business overhead</t>
  </si>
  <si>
    <t>Real-world anchor</t>
  </si>
  <si>
    <t>≈10m non-GMO acres ÷ 2.5 acres/bag ≈ 4.0m bags</t>
  </si>
  <si>
    <t>OPTIMAL — a price taker produces until P = MC</t>
  </si>
  <si>
    <t>Optimal output Q* (bags)</t>
  </si>
  <si>
    <t>← set P = MC and solve: Q* = (P − a) / 2b</t>
  </si>
  <si>
    <t>MC at Q*</t>
  </si>
  <si>
    <t>should equal P</t>
  </si>
  <si>
    <t>Revenue at Q*</t>
  </si>
  <si>
    <t>Variable cost (area under MC)</t>
  </si>
  <si>
    <t>NOT MC × Q</t>
  </si>
  <si>
    <t>Total cost</t>
  </si>
  <si>
    <t>Profit at Q*</t>
  </si>
  <si>
    <t>short-run; entry competes this away long-run</t>
  </si>
  <si>
    <t>DECISION TABLE</t>
  </si>
  <si>
    <t>Q bags</t>
  </si>
  <si>
    <t>P</t>
  </si>
  <si>
    <t>Revenue</t>
  </si>
  <si>
    <t>TVC</t>
  </si>
  <si>
    <t>Profit</t>
  </si>
  <si>
    <t>MR = ΔTR/ΔQ</t>
  </si>
  <si>
    <t>MC = ΔTC/ΔQ</t>
  </si>
  <si>
    <t>Note</t>
  </si>
  <si>
    <t>Q mid</t>
  </si>
  <si>
    <t>Roundup Ready GMO corn seed — patent monopoly (price maker)</t>
  </si>
  <si>
    <t>Demand intercept ($/bag)</t>
  </si>
  <si>
    <t>P = 525 − 0.0000067·Q</t>
  </si>
  <si>
    <t>Demand slope ($ per bag)</t>
  </si>
  <si>
    <t>each extra bag sold lowers the price a hair — on ALL bags</t>
  </si>
  <si>
    <t>GMO production scales better than non-GMO (b is 15× smaller)</t>
  </si>
  <si>
    <t>same seeds business overhead</t>
  </si>
  <si>
    <t>≈86m GMO acres ÷ 2.5 acres/bag ≈ 34.4m bags at ≈$270</t>
  </si>
  <si>
    <t>MARGINAL REVENUE — the twice-as-steep rule</t>
  </si>
  <si>
    <t>MR intercept</t>
  </si>
  <si>
    <t>same intercept as demand</t>
  </si>
  <si>
    <t>MR slope</t>
  </si>
  <si>
    <t>twice the demand slope: MR = 525 − 0.0000134·Q</t>
  </si>
  <si>
    <t>OPTIMAL — a price maker produces until MR = MC</t>
  </si>
  <si>
    <t>← set MR = MC: Q* = (a_D − a_MC) / (2b_MC − 2b_D)</t>
  </si>
  <si>
    <t>Price P* ($/bag)</t>
  </si>
  <si>
    <t>← read P* off the DEMAND curve, never off MR</t>
  </si>
  <si>
    <t>MR at Q*</t>
  </si>
  <si>
    <t>should equal MC at Q*</t>
  </si>
  <si>
    <t>the patent moat protects this from entry</t>
  </si>
  <si>
    <t>Markup P*/MC</t>
  </si>
  <si>
    <t>a price taker's markup is 1.0×</t>
  </si>
  <si>
    <t>Lerner index (P−MC)/P</t>
  </si>
  <si>
    <t>0 = perfect competition, →1 = pure monopoly power</t>
  </si>
  <si>
    <t>WHAT IF GMO SEED WERE COMPETITIVE? (P = MC benchmark)</t>
  </si>
  <si>
    <t>Competitive quantity Qc</t>
  </si>
  <si>
    <t>≈60.2m bags</t>
  </si>
  <si>
    <t>Competitive price Pc</t>
  </si>
  <si>
    <t>≈$121 — almost exactly the non-GMO price</t>
  </si>
  <si>
    <t>Deadweight loss of monopoly</t>
  </si>
  <si>
    <t>value destroyed, not transferred — ≈$3.0bn/yr</t>
  </si>
  <si>
    <t>P (demand)</t>
  </si>
  <si>
    <t>CHECK FIGURES (instructor)</t>
  </si>
  <si>
    <t>Non-GMO</t>
  </si>
  <si>
    <t>Q* 3,966,667 bags · revenue $476.0m · TC $370.0m · profit $106.0m</t>
  </si>
  <si>
    <t>GMO monopoly</t>
  </si>
  <si>
    <t>Q* 34,025,974 · P* $297.03 · MC=MR $69.05 · revenue $10.107bn · TC $1.322bn · profit $8.785bn (~83× non-GMO)</t>
  </si>
  <si>
    <t>Markup / Lerner</t>
  </si>
  <si>
    <t>4.30× / 0.768</t>
  </si>
  <si>
    <t>Competitive GMO</t>
  </si>
  <si>
    <t>Qc 60.23m · Pc $121.46 · DWL $2.99bn</t>
  </si>
  <si>
    <t>v9 bug</t>
  </si>
  <si>
    <t>Old workbook used TC = FC + MC·Q → GMO profit $7.71bn (understated $1.08bn) and non-GMO profit −$130m (nonsense)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</si>
</sst>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\(\$#,##0\);&quot;-&quot;"/>
    <numFmt numFmtId="165" formatCode="\$#,##0.00;\(\$#,##0.00\);&quot;-&quot;"/>
    <numFmt numFmtId="166" formatCode="0.0000000"/>
    <numFmt numFmtId="167" formatCode="0.0&quot;×&quot;"/>
    <numFmt numFmtId="168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F00"/>
      </patternFill>
    </fill>
    <fill>
      <patternFill patternType="solid">
        <fgColor rgb="FF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0" fillId="2" borderId="0" xfId="0" applyFill="1"/>
    <xf numFmtId="0" fontId="3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3" fontId="3" fillId="3" borderId="0" xfId="0" applyNumberFormat="1" applyFont="1" applyFill="1"/>
    <xf numFmtId="165" fontId="3" fillId="0" borderId="0" xfId="0" applyNumberFormat="1" applyFont="1"/>
    <xf numFmtId="164" fontId="3" fillId="0" borderId="0" xfId="0" applyNumberFormat="1" applyFont="1"/>
    <xf numFmtId="0" fontId="2" fillId="4" borderId="0" xfId="0" applyFont="1" applyFill="1"/>
    <xf numFmtId="3" fontId="3" fillId="0" borderId="0" xfId="0" applyNumberFormat="1" applyFont="1"/>
    <xf numFmtId="166" fontId="3" fillId="0" borderId="0" xfId="0" applyNumberFormat="1" applyFont="1"/>
    <xf numFmtId="165" fontId="3" fillId="3" borderId="0" xfId="0" applyNumberFormat="1" applyFont="1" applyFill="1"/>
    <xf numFmtId="167" fontId="3" fillId="0" borderId="0" xfId="0" applyNumberFormat="1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Non-GMO: P vs MC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'NonGMO Perfect'!$K$22:$K$37</c:f>
              <c:numCache>
                <c:formatCode>#,##0</c:formatCode>
                <c:ptCount val="16"/>
                <c:pt idx="0">
                  <c:v>250000</c:v>
                </c:pt>
                <c:pt idx="1">
                  <c:v>750000</c:v>
                </c:pt>
                <c:pt idx="2">
                  <c:v>1250000</c:v>
                </c:pt>
                <c:pt idx="3">
                  <c:v>1750000</c:v>
                </c:pt>
                <c:pt idx="4">
                  <c:v>2250000</c:v>
                </c:pt>
                <c:pt idx="5">
                  <c:v>2750000</c:v>
                </c:pt>
                <c:pt idx="6">
                  <c:v>3250000</c:v>
                </c:pt>
                <c:pt idx="7">
                  <c:v>3750000</c:v>
                </c:pt>
                <c:pt idx="8">
                  <c:v>4250000</c:v>
                </c:pt>
                <c:pt idx="9">
                  <c:v>4750000</c:v>
                </c:pt>
                <c:pt idx="10">
                  <c:v>5250000</c:v>
                </c:pt>
                <c:pt idx="11">
                  <c:v>5750000</c:v>
                </c:pt>
                <c:pt idx="12">
                  <c:v>6250000</c:v>
                </c:pt>
                <c:pt idx="13">
                  <c:v>6750000</c:v>
                </c:pt>
                <c:pt idx="14">
                  <c:v>7250000</c:v>
                </c:pt>
                <c:pt idx="15">
                  <c:v>7750000</c:v>
                </c:pt>
              </c:numCache>
            </c:numRef>
          </c:xVal>
          <c:yVal>
            <c:numRef>
              <c:f>'NonGMO Perfect'!$I$22:$I$37</c:f>
              <c:numCache>
                <c:formatCode>\$#,##0.00;\(\$#,##0.00\);"-"</c:formatCode>
                <c:ptCount val="16"/>
                <c:pt idx="0">
                  <c:v>8.5</c:v>
                </c:pt>
                <c:pt idx="1">
                  <c:v>23.5</c:v>
                </c:pt>
                <c:pt idx="2">
                  <c:v>38.5</c:v>
                </c:pt>
                <c:pt idx="3">
                  <c:v>53.5</c:v>
                </c:pt>
                <c:pt idx="4">
                  <c:v>68.5</c:v>
                </c:pt>
                <c:pt idx="5">
                  <c:v>83.5</c:v>
                </c:pt>
                <c:pt idx="6">
                  <c:v>98.5</c:v>
                </c:pt>
                <c:pt idx="7">
                  <c:v>113.5</c:v>
                </c:pt>
                <c:pt idx="8">
                  <c:v>128.5</c:v>
                </c:pt>
                <c:pt idx="9">
                  <c:v>143.5</c:v>
                </c:pt>
                <c:pt idx="10">
                  <c:v>158.5</c:v>
                </c:pt>
                <c:pt idx="11">
                  <c:v>173.5</c:v>
                </c:pt>
                <c:pt idx="12">
                  <c:v>188.5</c:v>
                </c:pt>
                <c:pt idx="13">
                  <c:v>203.5</c:v>
                </c:pt>
                <c:pt idx="14">
                  <c:v>218.5</c:v>
                </c:pt>
                <c:pt idx="15">
                  <c:v>233.5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72-4B6F-9C84-7A5754066BA0}"/>
            </c:ext>
          </c:extLst>
        </c:ser>
        <c:ser>
          <c:idx val="1"/>
          <c:order val="1"/>
          <c:tx>
            <c:v>P = MR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'NonGMO Perfect'!$K$22:$K$37</c:f>
              <c:numCache>
                <c:formatCode>#,##0</c:formatCode>
                <c:ptCount val="16"/>
                <c:pt idx="0">
                  <c:v>250000</c:v>
                </c:pt>
                <c:pt idx="1">
                  <c:v>750000</c:v>
                </c:pt>
                <c:pt idx="2">
                  <c:v>1250000</c:v>
                </c:pt>
                <c:pt idx="3">
                  <c:v>1750000</c:v>
                </c:pt>
                <c:pt idx="4">
                  <c:v>2250000</c:v>
                </c:pt>
                <c:pt idx="5">
                  <c:v>2750000</c:v>
                </c:pt>
                <c:pt idx="6">
                  <c:v>3250000</c:v>
                </c:pt>
                <c:pt idx="7">
                  <c:v>3750000</c:v>
                </c:pt>
                <c:pt idx="8">
                  <c:v>4250000</c:v>
                </c:pt>
                <c:pt idx="9">
                  <c:v>4750000</c:v>
                </c:pt>
                <c:pt idx="10">
                  <c:v>5250000</c:v>
                </c:pt>
                <c:pt idx="11">
                  <c:v>5750000</c:v>
                </c:pt>
                <c:pt idx="12">
                  <c:v>6250000</c:v>
                </c:pt>
                <c:pt idx="13">
                  <c:v>6750000</c:v>
                </c:pt>
                <c:pt idx="14">
                  <c:v>7250000</c:v>
                </c:pt>
                <c:pt idx="15">
                  <c:v>7750000</c:v>
                </c:pt>
              </c:numCache>
            </c:numRef>
          </c:xVal>
          <c:yVal>
            <c:numRef>
              <c:f>'NonGMO Perfect'!$H$22:$H$37</c:f>
              <c:numCache>
                <c:formatCode>\$#,##0.00;\(\$#,##0.00\);"-"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72-4B6F-9C84-7A5754066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bags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$/bag</a:t>
                </a:r>
              </a:p>
            </c:rich>
          </c:tx>
          <c:overlay val="1"/>
        </c:title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GMO: Demand, MR, MC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Demand P(Q)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'GMO Monopoly'!$B$35:$B$59</c:f>
              <c:numCache>
                <c:formatCode>#,##0</c:formatCode>
                <c:ptCount val="25"/>
                <c:pt idx="0">
                  <c:v>0</c:v>
                </c:pt>
                <c:pt idx="1">
                  <c:v>2500000</c:v>
                </c:pt>
                <c:pt idx="2">
                  <c:v>5000000</c:v>
                </c:pt>
                <c:pt idx="3">
                  <c:v>7500000</c:v>
                </c:pt>
                <c:pt idx="4">
                  <c:v>10000000</c:v>
                </c:pt>
                <c:pt idx="5">
                  <c:v>12500000</c:v>
                </c:pt>
                <c:pt idx="6">
                  <c:v>15000000</c:v>
                </c:pt>
                <c:pt idx="7">
                  <c:v>17500000</c:v>
                </c:pt>
                <c:pt idx="8">
                  <c:v>20000000</c:v>
                </c:pt>
                <c:pt idx="9">
                  <c:v>22500000</c:v>
                </c:pt>
                <c:pt idx="10">
                  <c:v>25000000</c:v>
                </c:pt>
                <c:pt idx="11">
                  <c:v>27500000</c:v>
                </c:pt>
                <c:pt idx="12">
                  <c:v>30000000</c:v>
                </c:pt>
                <c:pt idx="13">
                  <c:v>32500000</c:v>
                </c:pt>
                <c:pt idx="14">
                  <c:v>35000000</c:v>
                </c:pt>
                <c:pt idx="15">
                  <c:v>37500000</c:v>
                </c:pt>
                <c:pt idx="16">
                  <c:v>40000000</c:v>
                </c:pt>
                <c:pt idx="17">
                  <c:v>42500000</c:v>
                </c:pt>
                <c:pt idx="18">
                  <c:v>45000000</c:v>
                </c:pt>
                <c:pt idx="19">
                  <c:v>47500000</c:v>
                </c:pt>
                <c:pt idx="20">
                  <c:v>50000000</c:v>
                </c:pt>
                <c:pt idx="21">
                  <c:v>52500000</c:v>
                </c:pt>
                <c:pt idx="22">
                  <c:v>55000000</c:v>
                </c:pt>
                <c:pt idx="23">
                  <c:v>57500000</c:v>
                </c:pt>
                <c:pt idx="24">
                  <c:v>60000000</c:v>
                </c:pt>
              </c:numCache>
            </c:numRef>
          </c:xVal>
          <c:yVal>
            <c:numRef>
              <c:f>'GMO Monopoly'!$C$35:$C$59</c:f>
              <c:numCache>
                <c:formatCode>\$#,##0.00;\(\$#,##0.00\);"-"</c:formatCode>
                <c:ptCount val="25"/>
                <c:pt idx="0">
                  <c:v>525</c:v>
                </c:pt>
                <c:pt idx="1">
                  <c:v>508.25</c:v>
                </c:pt>
                <c:pt idx="2">
                  <c:v>491.5</c:v>
                </c:pt>
                <c:pt idx="3">
                  <c:v>474.75</c:v>
                </c:pt>
                <c:pt idx="4">
                  <c:v>458</c:v>
                </c:pt>
                <c:pt idx="5">
                  <c:v>441.25</c:v>
                </c:pt>
                <c:pt idx="6">
                  <c:v>424.5</c:v>
                </c:pt>
                <c:pt idx="7">
                  <c:v>407.75</c:v>
                </c:pt>
                <c:pt idx="8">
                  <c:v>391</c:v>
                </c:pt>
                <c:pt idx="9">
                  <c:v>374.25</c:v>
                </c:pt>
                <c:pt idx="10">
                  <c:v>357.5</c:v>
                </c:pt>
                <c:pt idx="11">
                  <c:v>340.75</c:v>
                </c:pt>
                <c:pt idx="12">
                  <c:v>324</c:v>
                </c:pt>
                <c:pt idx="13">
                  <c:v>307.25</c:v>
                </c:pt>
                <c:pt idx="14">
                  <c:v>290.5</c:v>
                </c:pt>
                <c:pt idx="15">
                  <c:v>273.75</c:v>
                </c:pt>
                <c:pt idx="16">
                  <c:v>257</c:v>
                </c:pt>
                <c:pt idx="17">
                  <c:v>240.25</c:v>
                </c:pt>
                <c:pt idx="18">
                  <c:v>223.5</c:v>
                </c:pt>
                <c:pt idx="19">
                  <c:v>206.75</c:v>
                </c:pt>
                <c:pt idx="20">
                  <c:v>190</c:v>
                </c:pt>
                <c:pt idx="21">
                  <c:v>173.25</c:v>
                </c:pt>
                <c:pt idx="22">
                  <c:v>156.5</c:v>
                </c:pt>
                <c:pt idx="23">
                  <c:v>139.75</c:v>
                </c:pt>
                <c:pt idx="24">
                  <c:v>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E6-4F19-BEE1-49CAEADB038B}"/>
            </c:ext>
          </c:extLst>
        </c:ser>
        <c:ser>
          <c:idx val="1"/>
          <c:order val="1"/>
          <c:tx>
            <c:v>MR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'GMO Monopoly'!$K$36:$K$59</c:f>
              <c:numCache>
                <c:formatCode>#,##0</c:formatCode>
                <c:ptCount val="24"/>
                <c:pt idx="0">
                  <c:v>1250000</c:v>
                </c:pt>
                <c:pt idx="1">
                  <c:v>3750000</c:v>
                </c:pt>
                <c:pt idx="2">
                  <c:v>6250000</c:v>
                </c:pt>
                <c:pt idx="3">
                  <c:v>8750000</c:v>
                </c:pt>
                <c:pt idx="4">
                  <c:v>11250000</c:v>
                </c:pt>
                <c:pt idx="5">
                  <c:v>13750000</c:v>
                </c:pt>
                <c:pt idx="6">
                  <c:v>16250000</c:v>
                </c:pt>
                <c:pt idx="7">
                  <c:v>18750000</c:v>
                </c:pt>
                <c:pt idx="8">
                  <c:v>21250000</c:v>
                </c:pt>
                <c:pt idx="9">
                  <c:v>23750000</c:v>
                </c:pt>
                <c:pt idx="10">
                  <c:v>26250000</c:v>
                </c:pt>
                <c:pt idx="11">
                  <c:v>28750000</c:v>
                </c:pt>
                <c:pt idx="12">
                  <c:v>31250000</c:v>
                </c:pt>
                <c:pt idx="13">
                  <c:v>33750000</c:v>
                </c:pt>
                <c:pt idx="14">
                  <c:v>36250000</c:v>
                </c:pt>
                <c:pt idx="15">
                  <c:v>38750000</c:v>
                </c:pt>
                <c:pt idx="16">
                  <c:v>41250000</c:v>
                </c:pt>
                <c:pt idx="17">
                  <c:v>43750000</c:v>
                </c:pt>
                <c:pt idx="18">
                  <c:v>46250000</c:v>
                </c:pt>
                <c:pt idx="19">
                  <c:v>48750000</c:v>
                </c:pt>
                <c:pt idx="20">
                  <c:v>51250000</c:v>
                </c:pt>
                <c:pt idx="21">
                  <c:v>53750000</c:v>
                </c:pt>
                <c:pt idx="22">
                  <c:v>56250000</c:v>
                </c:pt>
                <c:pt idx="23">
                  <c:v>58750000</c:v>
                </c:pt>
              </c:numCache>
            </c:numRef>
          </c:xVal>
          <c:yVal>
            <c:numRef>
              <c:f>'GMO Monopoly'!$H$36:$H$59</c:f>
              <c:numCache>
                <c:formatCode>\$#,##0.00;\(\$#,##0.00\);"-"</c:formatCode>
                <c:ptCount val="24"/>
                <c:pt idx="0">
                  <c:v>508.25</c:v>
                </c:pt>
                <c:pt idx="1">
                  <c:v>474.75</c:v>
                </c:pt>
                <c:pt idx="2">
                  <c:v>441.25</c:v>
                </c:pt>
                <c:pt idx="3">
                  <c:v>407.75</c:v>
                </c:pt>
                <c:pt idx="4">
                  <c:v>374.25</c:v>
                </c:pt>
                <c:pt idx="5">
                  <c:v>340.75</c:v>
                </c:pt>
                <c:pt idx="6">
                  <c:v>307.25</c:v>
                </c:pt>
                <c:pt idx="7">
                  <c:v>273.75</c:v>
                </c:pt>
                <c:pt idx="8">
                  <c:v>240.25</c:v>
                </c:pt>
                <c:pt idx="9">
                  <c:v>206.75</c:v>
                </c:pt>
                <c:pt idx="10">
                  <c:v>173.25</c:v>
                </c:pt>
                <c:pt idx="11">
                  <c:v>139.75</c:v>
                </c:pt>
                <c:pt idx="12">
                  <c:v>106.25</c:v>
                </c:pt>
                <c:pt idx="13">
                  <c:v>72.75</c:v>
                </c:pt>
                <c:pt idx="14">
                  <c:v>39.25</c:v>
                </c:pt>
                <c:pt idx="15">
                  <c:v>5.75</c:v>
                </c:pt>
                <c:pt idx="16">
                  <c:v>-27.75</c:v>
                </c:pt>
                <c:pt idx="17">
                  <c:v>-61.25</c:v>
                </c:pt>
                <c:pt idx="18">
                  <c:v>-94.75</c:v>
                </c:pt>
                <c:pt idx="19">
                  <c:v>-128.25</c:v>
                </c:pt>
                <c:pt idx="20">
                  <c:v>-161.75</c:v>
                </c:pt>
                <c:pt idx="21">
                  <c:v>-195.25</c:v>
                </c:pt>
                <c:pt idx="22">
                  <c:v>-228.75</c:v>
                </c:pt>
                <c:pt idx="23">
                  <c:v>-262.25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E6-4F19-BEE1-49CAEADB038B}"/>
            </c:ext>
          </c:extLst>
        </c:ser>
        <c:ser>
          <c:idx val="2"/>
          <c:order val="2"/>
          <c:tx>
            <c:v>MC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'GMO Monopoly'!$K$36:$K$59</c:f>
              <c:numCache>
                <c:formatCode>#,##0</c:formatCode>
                <c:ptCount val="24"/>
                <c:pt idx="0">
                  <c:v>1250000</c:v>
                </c:pt>
                <c:pt idx="1">
                  <c:v>3750000</c:v>
                </c:pt>
                <c:pt idx="2">
                  <c:v>6250000</c:v>
                </c:pt>
                <c:pt idx="3">
                  <c:v>8750000</c:v>
                </c:pt>
                <c:pt idx="4">
                  <c:v>11250000</c:v>
                </c:pt>
                <c:pt idx="5">
                  <c:v>13750000</c:v>
                </c:pt>
                <c:pt idx="6">
                  <c:v>16250000</c:v>
                </c:pt>
                <c:pt idx="7">
                  <c:v>18750000</c:v>
                </c:pt>
                <c:pt idx="8">
                  <c:v>21250000</c:v>
                </c:pt>
                <c:pt idx="9">
                  <c:v>23750000</c:v>
                </c:pt>
                <c:pt idx="10">
                  <c:v>26250000</c:v>
                </c:pt>
                <c:pt idx="11">
                  <c:v>28750000</c:v>
                </c:pt>
                <c:pt idx="12">
                  <c:v>31250000</c:v>
                </c:pt>
                <c:pt idx="13">
                  <c:v>33750000</c:v>
                </c:pt>
                <c:pt idx="14">
                  <c:v>36250000</c:v>
                </c:pt>
                <c:pt idx="15">
                  <c:v>38750000</c:v>
                </c:pt>
                <c:pt idx="16">
                  <c:v>41250000</c:v>
                </c:pt>
                <c:pt idx="17">
                  <c:v>43750000</c:v>
                </c:pt>
                <c:pt idx="18">
                  <c:v>46250000</c:v>
                </c:pt>
                <c:pt idx="19">
                  <c:v>48750000</c:v>
                </c:pt>
                <c:pt idx="20">
                  <c:v>51250000</c:v>
                </c:pt>
                <c:pt idx="21">
                  <c:v>53750000</c:v>
                </c:pt>
                <c:pt idx="22">
                  <c:v>56250000</c:v>
                </c:pt>
                <c:pt idx="23">
                  <c:v>58750000</c:v>
                </c:pt>
              </c:numCache>
            </c:numRef>
          </c:xVal>
          <c:yVal>
            <c:numRef>
              <c:f>'GMO Monopoly'!$I$36:$I$59</c:f>
              <c:numCache>
                <c:formatCode>\$#,##0.00;\(\$#,##0.00\);"-"</c:formatCode>
                <c:ptCount val="24"/>
                <c:pt idx="0">
                  <c:v>3.5</c:v>
                </c:pt>
                <c:pt idx="1">
                  <c:v>8.5</c:v>
                </c:pt>
                <c:pt idx="2">
                  <c:v>13.5</c:v>
                </c:pt>
                <c:pt idx="3">
                  <c:v>18.5</c:v>
                </c:pt>
                <c:pt idx="4">
                  <c:v>23.5</c:v>
                </c:pt>
                <c:pt idx="5">
                  <c:v>28.5</c:v>
                </c:pt>
                <c:pt idx="6">
                  <c:v>33.5</c:v>
                </c:pt>
                <c:pt idx="7">
                  <c:v>38.5</c:v>
                </c:pt>
                <c:pt idx="8">
                  <c:v>43.5</c:v>
                </c:pt>
                <c:pt idx="9">
                  <c:v>48.5</c:v>
                </c:pt>
                <c:pt idx="10">
                  <c:v>53.5</c:v>
                </c:pt>
                <c:pt idx="11">
                  <c:v>58.5</c:v>
                </c:pt>
                <c:pt idx="12">
                  <c:v>63.5</c:v>
                </c:pt>
                <c:pt idx="13">
                  <c:v>68.5</c:v>
                </c:pt>
                <c:pt idx="14">
                  <c:v>73.5</c:v>
                </c:pt>
                <c:pt idx="15">
                  <c:v>78.5</c:v>
                </c:pt>
                <c:pt idx="16">
                  <c:v>83.5</c:v>
                </c:pt>
                <c:pt idx="17">
                  <c:v>88.5</c:v>
                </c:pt>
                <c:pt idx="18">
                  <c:v>93.5</c:v>
                </c:pt>
                <c:pt idx="19">
                  <c:v>98.5</c:v>
                </c:pt>
                <c:pt idx="20">
                  <c:v>103.5</c:v>
                </c:pt>
                <c:pt idx="21">
                  <c:v>108.5</c:v>
                </c:pt>
                <c:pt idx="22">
                  <c:v>113.5</c:v>
                </c:pt>
                <c:pt idx="23">
                  <c:v>118.5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E6-4F19-BEE1-49CAEADB0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bags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$/bag</a:t>
                </a:r>
              </a:p>
            </c:rich>
          </c:tx>
          <c:overlay val="1"/>
        </c:title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19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8"/>
  <sheetViews>
    <sheetView tabSelected="1" workbookViewId="0"/>
  </sheetViews>
  <sheetFormatPr defaultRowHeight="14.5" x14ac:dyDescent="0.35"/>
  <cols>
    <col min="2" max="2" width="112" customWidth="1"/>
  </cols>
  <sheetData>
    <row r="2" spans="2:2" ht="18" customHeight="1" x14ac:dyDescent="0.4">
      <c r="B2" s="1" t="s">
        <v>0</v>
      </c>
    </row>
    <row r="4" spans="2:2" x14ac:dyDescent="0.35">
      <c r="B4" s="2" t="s">
        <v>1</v>
      </c>
    </row>
    <row r="5" spans="2:2" ht="37.5" customHeight="1" x14ac:dyDescent="0.35">
      <c r="B5" s="3" t="s">
        <v>2</v>
      </c>
    </row>
    <row r="6" spans="2:2" x14ac:dyDescent="0.35">
      <c r="B6" s="3"/>
    </row>
    <row r="7" spans="2:2" x14ac:dyDescent="0.35">
      <c r="B7" s="2" t="s">
        <v>3</v>
      </c>
    </row>
    <row r="8" spans="2:2" x14ac:dyDescent="0.35">
      <c r="B8" s="3" t="s">
        <v>4</v>
      </c>
    </row>
    <row r="9" spans="2:2" ht="25" customHeight="1" x14ac:dyDescent="0.35">
      <c r="B9" s="3" t="s">
        <v>5</v>
      </c>
    </row>
    <row r="10" spans="2:2" ht="25" customHeight="1" x14ac:dyDescent="0.35">
      <c r="B10" s="3" t="s">
        <v>6</v>
      </c>
    </row>
    <row r="11" spans="2:2" x14ac:dyDescent="0.35">
      <c r="B11" s="3" t="s">
        <v>7</v>
      </c>
    </row>
    <row r="12" spans="2:2" ht="25" customHeight="1" x14ac:dyDescent="0.35">
      <c r="B12" s="3" t="s">
        <v>8</v>
      </c>
    </row>
    <row r="13" spans="2:2" x14ac:dyDescent="0.35">
      <c r="B13" s="3"/>
    </row>
    <row r="14" spans="2:2" x14ac:dyDescent="0.35">
      <c r="B14" s="2" t="s">
        <v>9</v>
      </c>
    </row>
    <row r="15" spans="2:2" ht="37.5" customHeight="1" x14ac:dyDescent="0.35">
      <c r="B15" s="3" t="s">
        <v>10</v>
      </c>
    </row>
    <row r="16" spans="2:2" x14ac:dyDescent="0.35">
      <c r="B16" s="3"/>
    </row>
    <row r="17" spans="2:2" x14ac:dyDescent="0.35">
      <c r="B17" s="2" t="s">
        <v>11</v>
      </c>
    </row>
    <row r="18" spans="2:2" ht="37.5" customHeight="1" x14ac:dyDescent="0.35">
      <c r="B18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37"/>
  <sheetViews>
    <sheetView workbookViewId="0"/>
  </sheetViews>
  <sheetFormatPr defaultRowHeight="14.5" x14ac:dyDescent="0.35"/>
  <cols>
    <col min="1" max="1" width="2" customWidth="1"/>
    <col min="2" max="2" width="34" customWidth="1"/>
    <col min="3" max="3" width="16" customWidth="1"/>
    <col min="4" max="4" width="42" customWidth="1"/>
    <col min="5" max="9" width="14" customWidth="1"/>
    <col min="10" max="10" width="12" customWidth="1"/>
    <col min="11" max="11" width="10" customWidth="1"/>
    <col min="12" max="12" width="12" customWidth="1"/>
  </cols>
  <sheetData>
    <row r="2" spans="2:4" ht="18" customHeight="1" x14ac:dyDescent="0.4">
      <c r="B2" s="1" t="s">
        <v>13</v>
      </c>
    </row>
    <row r="4" spans="2:4" x14ac:dyDescent="0.35">
      <c r="B4" s="4" t="s">
        <v>14</v>
      </c>
      <c r="C4" s="5"/>
      <c r="D4" s="5"/>
    </row>
    <row r="5" spans="2:4" x14ac:dyDescent="0.35">
      <c r="B5" s="6" t="s">
        <v>15</v>
      </c>
      <c r="C5" s="7">
        <v>120</v>
      </c>
      <c r="D5" s="6" t="s">
        <v>16</v>
      </c>
    </row>
    <row r="6" spans="2:4" x14ac:dyDescent="0.35">
      <c r="B6" s="6" t="s">
        <v>17</v>
      </c>
      <c r="C6" s="8">
        <v>1</v>
      </c>
      <c r="D6" s="6" t="s">
        <v>18</v>
      </c>
    </row>
    <row r="7" spans="2:4" x14ac:dyDescent="0.35">
      <c r="B7" s="6" t="s">
        <v>19</v>
      </c>
      <c r="C7" s="9">
        <v>1.5E-5</v>
      </c>
      <c r="D7" s="6" t="s">
        <v>20</v>
      </c>
    </row>
    <row r="8" spans="2:4" x14ac:dyDescent="0.35">
      <c r="B8" s="6" t="s">
        <v>21</v>
      </c>
      <c r="C8" s="7">
        <v>130000000</v>
      </c>
      <c r="D8" s="6" t="s">
        <v>22</v>
      </c>
    </row>
    <row r="9" spans="2:4" x14ac:dyDescent="0.35">
      <c r="B9" s="6" t="s">
        <v>23</v>
      </c>
      <c r="C9" s="6" t="s">
        <v>24</v>
      </c>
    </row>
    <row r="11" spans="2:4" x14ac:dyDescent="0.35">
      <c r="B11" s="4" t="s">
        <v>25</v>
      </c>
      <c r="C11" s="5"/>
      <c r="D11" s="5"/>
    </row>
    <row r="12" spans="2:4" x14ac:dyDescent="0.35">
      <c r="B12" s="6" t="s">
        <v>26</v>
      </c>
      <c r="C12" s="10">
        <f>(ng_P-ng_a)/(2*ng_b)</f>
        <v>3966666.6666666665</v>
      </c>
      <c r="D12" s="6" t="s">
        <v>27</v>
      </c>
    </row>
    <row r="13" spans="2:4" x14ac:dyDescent="0.35">
      <c r="B13" s="6" t="s">
        <v>28</v>
      </c>
      <c r="C13" s="11">
        <f>ng_a+2*ng_b*ng_Qopt</f>
        <v>120</v>
      </c>
      <c r="D13" s="6" t="s">
        <v>29</v>
      </c>
    </row>
    <row r="14" spans="2:4" x14ac:dyDescent="0.35">
      <c r="B14" s="6" t="s">
        <v>30</v>
      </c>
      <c r="C14" s="12">
        <f>ng_P*ng_Qopt</f>
        <v>476000000</v>
      </c>
    </row>
    <row r="15" spans="2:4" x14ac:dyDescent="0.35">
      <c r="B15" s="6" t="s">
        <v>31</v>
      </c>
      <c r="C15" s="12">
        <f>ng_a*ng_Qopt+ng_b*ng_Qopt^2</f>
        <v>239983333.33333331</v>
      </c>
      <c r="D15" s="6" t="s">
        <v>32</v>
      </c>
    </row>
    <row r="16" spans="2:4" x14ac:dyDescent="0.35">
      <c r="B16" s="6" t="s">
        <v>33</v>
      </c>
      <c r="C16" s="12">
        <f>ng_a*ng_Qopt+ng_b*ng_Qopt^2+ng_FC</f>
        <v>369983333.33333331</v>
      </c>
    </row>
    <row r="17" spans="2:11" x14ac:dyDescent="0.35">
      <c r="B17" s="6" t="s">
        <v>34</v>
      </c>
      <c r="C17" s="12">
        <f>ng_P*ng_Qopt-(ng_a*ng_Qopt+ng_b*ng_Qopt^2+ng_FC)</f>
        <v>106016666.66666669</v>
      </c>
      <c r="D17" s="6" t="s">
        <v>35</v>
      </c>
    </row>
    <row r="19" spans="2:11" x14ac:dyDescent="0.35">
      <c r="B19" s="4" t="s">
        <v>36</v>
      </c>
      <c r="C19" s="5"/>
      <c r="D19" s="5"/>
      <c r="E19" s="5"/>
      <c r="F19" s="5"/>
      <c r="G19" s="5"/>
      <c r="H19" s="5"/>
      <c r="I19" s="5"/>
      <c r="J19" s="5"/>
    </row>
    <row r="20" spans="2:11" x14ac:dyDescent="0.35">
      <c r="B20" s="13" t="s">
        <v>37</v>
      </c>
      <c r="C20" s="13" t="s">
        <v>38</v>
      </c>
      <c r="D20" s="13" t="s">
        <v>39</v>
      </c>
      <c r="E20" s="13" t="s">
        <v>40</v>
      </c>
      <c r="F20" s="13" t="s">
        <v>33</v>
      </c>
      <c r="G20" s="13" t="s">
        <v>41</v>
      </c>
      <c r="H20" s="13" t="s">
        <v>42</v>
      </c>
      <c r="I20" s="13" t="s">
        <v>43</v>
      </c>
      <c r="J20" s="13" t="s">
        <v>44</v>
      </c>
      <c r="K20" s="13" t="s">
        <v>45</v>
      </c>
    </row>
    <row r="21" spans="2:11" x14ac:dyDescent="0.35">
      <c r="B21" s="14">
        <v>0</v>
      </c>
      <c r="C21" s="12">
        <f t="shared" ref="C21:C37" si="0">ng_P</f>
        <v>120</v>
      </c>
      <c r="D21" s="12">
        <f t="shared" ref="D21:D37" si="1">C21*B21</f>
        <v>0</v>
      </c>
      <c r="E21" s="12">
        <f t="shared" ref="E21:E37" si="2">ng_a*B21+ng_b*B21^2</f>
        <v>0</v>
      </c>
      <c r="F21" s="12">
        <f t="shared" ref="F21:F37" si="3">E21+ng_FC</f>
        <v>130000000</v>
      </c>
      <c r="G21" s="12">
        <f t="shared" ref="G21:G37" si="4">D21-F21</f>
        <v>-130000000</v>
      </c>
    </row>
    <row r="22" spans="2:11" x14ac:dyDescent="0.35">
      <c r="B22" s="14">
        <v>500000</v>
      </c>
      <c r="C22" s="12">
        <f t="shared" si="0"/>
        <v>120</v>
      </c>
      <c r="D22" s="12">
        <f t="shared" si="1"/>
        <v>60000000</v>
      </c>
      <c r="E22" s="12">
        <f t="shared" si="2"/>
        <v>4250000</v>
      </c>
      <c r="F22" s="12">
        <f t="shared" si="3"/>
        <v>134250000</v>
      </c>
      <c r="G22" s="12">
        <f t="shared" si="4"/>
        <v>-74250000</v>
      </c>
      <c r="H22" s="11">
        <f t="shared" ref="H22:H37" si="5">(D22-D21)/(B22-B21)</f>
        <v>120</v>
      </c>
      <c r="I22" s="11">
        <f t="shared" ref="I22:I37" si="6">(F22-F21)/(B22-B21)</f>
        <v>8.5</v>
      </c>
      <c r="J22" s="6" t="str">
        <f t="shared" ref="J22:J36" si="7">IF(AND(ng_P&gt;I22,ng_P&lt;=I23),"&lt;-- P ~ MC","")</f>
        <v/>
      </c>
      <c r="K22" s="14">
        <f t="shared" ref="K22:K37" si="8">(B22+B21)/2</f>
        <v>250000</v>
      </c>
    </row>
    <row r="23" spans="2:11" x14ac:dyDescent="0.35">
      <c r="B23" s="14">
        <v>1000000</v>
      </c>
      <c r="C23" s="12">
        <f t="shared" si="0"/>
        <v>120</v>
      </c>
      <c r="D23" s="12">
        <f t="shared" si="1"/>
        <v>120000000</v>
      </c>
      <c r="E23" s="12">
        <f t="shared" si="2"/>
        <v>16000000</v>
      </c>
      <c r="F23" s="12">
        <f t="shared" si="3"/>
        <v>146000000</v>
      </c>
      <c r="G23" s="12">
        <f t="shared" si="4"/>
        <v>-26000000</v>
      </c>
      <c r="H23" s="11">
        <f t="shared" si="5"/>
        <v>120</v>
      </c>
      <c r="I23" s="11">
        <f t="shared" si="6"/>
        <v>23.5</v>
      </c>
      <c r="J23" s="6" t="str">
        <f t="shared" si="7"/>
        <v/>
      </c>
      <c r="K23" s="14">
        <f t="shared" si="8"/>
        <v>750000</v>
      </c>
    </row>
    <row r="24" spans="2:11" x14ac:dyDescent="0.35">
      <c r="B24" s="14">
        <v>1500000</v>
      </c>
      <c r="C24" s="12">
        <f t="shared" si="0"/>
        <v>120</v>
      </c>
      <c r="D24" s="12">
        <f t="shared" si="1"/>
        <v>180000000</v>
      </c>
      <c r="E24" s="12">
        <f t="shared" si="2"/>
        <v>35250000</v>
      </c>
      <c r="F24" s="12">
        <f t="shared" si="3"/>
        <v>165250000</v>
      </c>
      <c r="G24" s="12">
        <f t="shared" si="4"/>
        <v>14750000</v>
      </c>
      <c r="H24" s="11">
        <f t="shared" si="5"/>
        <v>120</v>
      </c>
      <c r="I24" s="11">
        <f t="shared" si="6"/>
        <v>38.5</v>
      </c>
      <c r="J24" s="6" t="str">
        <f t="shared" si="7"/>
        <v/>
      </c>
      <c r="K24" s="14">
        <f t="shared" si="8"/>
        <v>1250000</v>
      </c>
    </row>
    <row r="25" spans="2:11" x14ac:dyDescent="0.35">
      <c r="B25" s="14">
        <v>2000000</v>
      </c>
      <c r="C25" s="12">
        <f t="shared" si="0"/>
        <v>120</v>
      </c>
      <c r="D25" s="12">
        <f t="shared" si="1"/>
        <v>240000000</v>
      </c>
      <c r="E25" s="12">
        <f t="shared" si="2"/>
        <v>62000000</v>
      </c>
      <c r="F25" s="12">
        <f t="shared" si="3"/>
        <v>192000000</v>
      </c>
      <c r="G25" s="12">
        <f t="shared" si="4"/>
        <v>48000000</v>
      </c>
      <c r="H25" s="11">
        <f t="shared" si="5"/>
        <v>120</v>
      </c>
      <c r="I25" s="11">
        <f t="shared" si="6"/>
        <v>53.5</v>
      </c>
      <c r="J25" s="6" t="str">
        <f t="shared" si="7"/>
        <v/>
      </c>
      <c r="K25" s="14">
        <f t="shared" si="8"/>
        <v>1750000</v>
      </c>
    </row>
    <row r="26" spans="2:11" x14ac:dyDescent="0.35">
      <c r="B26" s="14">
        <v>2500000</v>
      </c>
      <c r="C26" s="12">
        <f t="shared" si="0"/>
        <v>120</v>
      </c>
      <c r="D26" s="12">
        <f t="shared" si="1"/>
        <v>300000000</v>
      </c>
      <c r="E26" s="12">
        <f t="shared" si="2"/>
        <v>96250000</v>
      </c>
      <c r="F26" s="12">
        <f t="shared" si="3"/>
        <v>226250000</v>
      </c>
      <c r="G26" s="12">
        <f t="shared" si="4"/>
        <v>73750000</v>
      </c>
      <c r="H26" s="11">
        <f t="shared" si="5"/>
        <v>120</v>
      </c>
      <c r="I26" s="11">
        <f t="shared" si="6"/>
        <v>68.5</v>
      </c>
      <c r="J26" s="6" t="str">
        <f t="shared" si="7"/>
        <v/>
      </c>
      <c r="K26" s="14">
        <f t="shared" si="8"/>
        <v>2250000</v>
      </c>
    </row>
    <row r="27" spans="2:11" x14ac:dyDescent="0.35">
      <c r="B27" s="14">
        <v>3000000</v>
      </c>
      <c r="C27" s="12">
        <f t="shared" si="0"/>
        <v>120</v>
      </c>
      <c r="D27" s="12">
        <f t="shared" si="1"/>
        <v>360000000</v>
      </c>
      <c r="E27" s="12">
        <f t="shared" si="2"/>
        <v>138000000</v>
      </c>
      <c r="F27" s="12">
        <f t="shared" si="3"/>
        <v>268000000</v>
      </c>
      <c r="G27" s="12">
        <f t="shared" si="4"/>
        <v>92000000</v>
      </c>
      <c r="H27" s="11">
        <f t="shared" si="5"/>
        <v>120</v>
      </c>
      <c r="I27" s="11">
        <f t="shared" si="6"/>
        <v>83.5</v>
      </c>
      <c r="J27" s="6" t="str">
        <f t="shared" si="7"/>
        <v/>
      </c>
      <c r="K27" s="14">
        <f t="shared" si="8"/>
        <v>2750000</v>
      </c>
    </row>
    <row r="28" spans="2:11" x14ac:dyDescent="0.35">
      <c r="B28" s="14">
        <v>3500000</v>
      </c>
      <c r="C28" s="12">
        <f t="shared" si="0"/>
        <v>120</v>
      </c>
      <c r="D28" s="12">
        <f t="shared" si="1"/>
        <v>420000000</v>
      </c>
      <c r="E28" s="12">
        <f t="shared" si="2"/>
        <v>187250000</v>
      </c>
      <c r="F28" s="12">
        <f t="shared" si="3"/>
        <v>317250000</v>
      </c>
      <c r="G28" s="12">
        <f t="shared" si="4"/>
        <v>102750000</v>
      </c>
      <c r="H28" s="11">
        <f t="shared" si="5"/>
        <v>120</v>
      </c>
      <c r="I28" s="11">
        <f t="shared" si="6"/>
        <v>98.5</v>
      </c>
      <c r="J28" s="6" t="str">
        <f t="shared" si="7"/>
        <v/>
      </c>
      <c r="K28" s="14">
        <f t="shared" si="8"/>
        <v>3250000</v>
      </c>
    </row>
    <row r="29" spans="2:11" x14ac:dyDescent="0.35">
      <c r="B29" s="14">
        <v>4000000</v>
      </c>
      <c r="C29" s="12">
        <f t="shared" si="0"/>
        <v>120</v>
      </c>
      <c r="D29" s="12">
        <f t="shared" si="1"/>
        <v>480000000</v>
      </c>
      <c r="E29" s="12">
        <f t="shared" si="2"/>
        <v>244000000</v>
      </c>
      <c r="F29" s="12">
        <f t="shared" si="3"/>
        <v>374000000</v>
      </c>
      <c r="G29" s="12">
        <f t="shared" si="4"/>
        <v>106000000</v>
      </c>
      <c r="H29" s="11">
        <f t="shared" si="5"/>
        <v>120</v>
      </c>
      <c r="I29" s="11">
        <f t="shared" si="6"/>
        <v>113.5</v>
      </c>
      <c r="J29" s="6" t="str">
        <f t="shared" si="7"/>
        <v>&lt;-- P ~ MC</v>
      </c>
      <c r="K29" s="14">
        <f t="shared" si="8"/>
        <v>3750000</v>
      </c>
    </row>
    <row r="30" spans="2:11" x14ac:dyDescent="0.35">
      <c r="B30" s="14">
        <v>4500000</v>
      </c>
      <c r="C30" s="12">
        <f t="shared" si="0"/>
        <v>120</v>
      </c>
      <c r="D30" s="12">
        <f t="shared" si="1"/>
        <v>540000000</v>
      </c>
      <c r="E30" s="12">
        <f t="shared" si="2"/>
        <v>308250000</v>
      </c>
      <c r="F30" s="12">
        <f t="shared" si="3"/>
        <v>438250000</v>
      </c>
      <c r="G30" s="12">
        <f t="shared" si="4"/>
        <v>101750000</v>
      </c>
      <c r="H30" s="11">
        <f t="shared" si="5"/>
        <v>120</v>
      </c>
      <c r="I30" s="11">
        <f t="shared" si="6"/>
        <v>128.5</v>
      </c>
      <c r="J30" s="6" t="str">
        <f t="shared" si="7"/>
        <v/>
      </c>
      <c r="K30" s="14">
        <f t="shared" si="8"/>
        <v>4250000</v>
      </c>
    </row>
    <row r="31" spans="2:11" x14ac:dyDescent="0.35">
      <c r="B31" s="14">
        <v>5000000</v>
      </c>
      <c r="C31" s="12">
        <f t="shared" si="0"/>
        <v>120</v>
      </c>
      <c r="D31" s="12">
        <f t="shared" si="1"/>
        <v>600000000</v>
      </c>
      <c r="E31" s="12">
        <f t="shared" si="2"/>
        <v>380000000</v>
      </c>
      <c r="F31" s="12">
        <f t="shared" si="3"/>
        <v>510000000</v>
      </c>
      <c r="G31" s="12">
        <f t="shared" si="4"/>
        <v>90000000</v>
      </c>
      <c r="H31" s="11">
        <f t="shared" si="5"/>
        <v>120</v>
      </c>
      <c r="I31" s="11">
        <f t="shared" si="6"/>
        <v>143.5</v>
      </c>
      <c r="J31" s="6" t="str">
        <f t="shared" si="7"/>
        <v/>
      </c>
      <c r="K31" s="14">
        <f t="shared" si="8"/>
        <v>4750000</v>
      </c>
    </row>
    <row r="32" spans="2:11" x14ac:dyDescent="0.35">
      <c r="B32" s="14">
        <v>5500000</v>
      </c>
      <c r="C32" s="12">
        <f t="shared" si="0"/>
        <v>120</v>
      </c>
      <c r="D32" s="12">
        <f t="shared" si="1"/>
        <v>660000000</v>
      </c>
      <c r="E32" s="12">
        <f t="shared" si="2"/>
        <v>459250000</v>
      </c>
      <c r="F32" s="12">
        <f t="shared" si="3"/>
        <v>589250000</v>
      </c>
      <c r="G32" s="12">
        <f t="shared" si="4"/>
        <v>70750000</v>
      </c>
      <c r="H32" s="11">
        <f t="shared" si="5"/>
        <v>120</v>
      </c>
      <c r="I32" s="11">
        <f t="shared" si="6"/>
        <v>158.5</v>
      </c>
      <c r="J32" s="6" t="str">
        <f t="shared" si="7"/>
        <v/>
      </c>
      <c r="K32" s="14">
        <f t="shared" si="8"/>
        <v>5250000</v>
      </c>
    </row>
    <row r="33" spans="2:11" x14ac:dyDescent="0.35">
      <c r="B33" s="14">
        <v>6000000</v>
      </c>
      <c r="C33" s="12">
        <f t="shared" si="0"/>
        <v>120</v>
      </c>
      <c r="D33" s="12">
        <f t="shared" si="1"/>
        <v>720000000</v>
      </c>
      <c r="E33" s="12">
        <f t="shared" si="2"/>
        <v>546000000</v>
      </c>
      <c r="F33" s="12">
        <f t="shared" si="3"/>
        <v>676000000</v>
      </c>
      <c r="G33" s="12">
        <f t="shared" si="4"/>
        <v>44000000</v>
      </c>
      <c r="H33" s="11">
        <f t="shared" si="5"/>
        <v>120</v>
      </c>
      <c r="I33" s="11">
        <f t="shared" si="6"/>
        <v>173.5</v>
      </c>
      <c r="J33" s="6" t="str">
        <f t="shared" si="7"/>
        <v/>
      </c>
      <c r="K33" s="14">
        <f t="shared" si="8"/>
        <v>5750000</v>
      </c>
    </row>
    <row r="34" spans="2:11" x14ac:dyDescent="0.35">
      <c r="B34" s="14">
        <v>6500000</v>
      </c>
      <c r="C34" s="12">
        <f t="shared" si="0"/>
        <v>120</v>
      </c>
      <c r="D34" s="12">
        <f t="shared" si="1"/>
        <v>780000000</v>
      </c>
      <c r="E34" s="12">
        <f t="shared" si="2"/>
        <v>640250000</v>
      </c>
      <c r="F34" s="12">
        <f t="shared" si="3"/>
        <v>770250000</v>
      </c>
      <c r="G34" s="12">
        <f t="shared" si="4"/>
        <v>9750000</v>
      </c>
      <c r="H34" s="11">
        <f t="shared" si="5"/>
        <v>120</v>
      </c>
      <c r="I34" s="11">
        <f t="shared" si="6"/>
        <v>188.5</v>
      </c>
      <c r="J34" s="6" t="str">
        <f t="shared" si="7"/>
        <v/>
      </c>
      <c r="K34" s="14">
        <f t="shared" si="8"/>
        <v>6250000</v>
      </c>
    </row>
    <row r="35" spans="2:11" x14ac:dyDescent="0.35">
      <c r="B35" s="14">
        <v>7000000</v>
      </c>
      <c r="C35" s="12">
        <f t="shared" si="0"/>
        <v>120</v>
      </c>
      <c r="D35" s="12">
        <f t="shared" si="1"/>
        <v>840000000</v>
      </c>
      <c r="E35" s="12">
        <f t="shared" si="2"/>
        <v>742000000</v>
      </c>
      <c r="F35" s="12">
        <f t="shared" si="3"/>
        <v>872000000</v>
      </c>
      <c r="G35" s="12">
        <f t="shared" si="4"/>
        <v>-32000000</v>
      </c>
      <c r="H35" s="11">
        <f t="shared" si="5"/>
        <v>120</v>
      </c>
      <c r="I35" s="11">
        <f t="shared" si="6"/>
        <v>203.5</v>
      </c>
      <c r="J35" s="6" t="str">
        <f t="shared" si="7"/>
        <v/>
      </c>
      <c r="K35" s="14">
        <f t="shared" si="8"/>
        <v>6750000</v>
      </c>
    </row>
    <row r="36" spans="2:11" x14ac:dyDescent="0.35">
      <c r="B36" s="14">
        <v>7500000</v>
      </c>
      <c r="C36" s="12">
        <f t="shared" si="0"/>
        <v>120</v>
      </c>
      <c r="D36" s="12">
        <f t="shared" si="1"/>
        <v>900000000</v>
      </c>
      <c r="E36" s="12">
        <f t="shared" si="2"/>
        <v>851250000</v>
      </c>
      <c r="F36" s="12">
        <f t="shared" si="3"/>
        <v>981250000</v>
      </c>
      <c r="G36" s="12">
        <f t="shared" si="4"/>
        <v>-81250000</v>
      </c>
      <c r="H36" s="11">
        <f t="shared" si="5"/>
        <v>120</v>
      </c>
      <c r="I36" s="11">
        <f t="shared" si="6"/>
        <v>218.5</v>
      </c>
      <c r="J36" s="6" t="str">
        <f t="shared" si="7"/>
        <v/>
      </c>
      <c r="K36" s="14">
        <f t="shared" si="8"/>
        <v>7250000</v>
      </c>
    </row>
    <row r="37" spans="2:11" x14ac:dyDescent="0.35">
      <c r="B37" s="14">
        <v>8000000</v>
      </c>
      <c r="C37" s="12">
        <f t="shared" si="0"/>
        <v>120</v>
      </c>
      <c r="D37" s="12">
        <f t="shared" si="1"/>
        <v>960000000</v>
      </c>
      <c r="E37" s="12">
        <f t="shared" si="2"/>
        <v>968000000</v>
      </c>
      <c r="F37" s="12">
        <f t="shared" si="3"/>
        <v>1098000000</v>
      </c>
      <c r="G37" s="12">
        <f t="shared" si="4"/>
        <v>-138000000</v>
      </c>
      <c r="H37" s="11">
        <f t="shared" si="5"/>
        <v>120</v>
      </c>
      <c r="I37" s="11">
        <f t="shared" si="6"/>
        <v>233.5</v>
      </c>
      <c r="K37" s="14">
        <f t="shared" si="8"/>
        <v>7750000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66"/>
  <sheetViews>
    <sheetView workbookViewId="0"/>
  </sheetViews>
  <sheetFormatPr defaultRowHeight="14.5" x14ac:dyDescent="0.35"/>
  <cols>
    <col min="1" max="1" width="2" customWidth="1"/>
    <col min="2" max="2" width="34" customWidth="1"/>
    <col min="3" max="3" width="16" customWidth="1"/>
    <col min="4" max="4" width="46" customWidth="1"/>
    <col min="5" max="9" width="14" customWidth="1"/>
    <col min="10" max="10" width="12" customWidth="1"/>
    <col min="11" max="11" width="10" customWidth="1"/>
    <col min="12" max="12" width="12" customWidth="1"/>
  </cols>
  <sheetData>
    <row r="2" spans="2:4" ht="18" customHeight="1" x14ac:dyDescent="0.4">
      <c r="B2" s="1" t="s">
        <v>46</v>
      </c>
    </row>
    <row r="4" spans="2:4" x14ac:dyDescent="0.35">
      <c r="B4" s="4" t="s">
        <v>14</v>
      </c>
      <c r="C4" s="5"/>
      <c r="D4" s="5"/>
    </row>
    <row r="5" spans="2:4" x14ac:dyDescent="0.35">
      <c r="B5" s="6" t="s">
        <v>47</v>
      </c>
      <c r="C5" s="7">
        <v>525</v>
      </c>
      <c r="D5" s="6" t="s">
        <v>48</v>
      </c>
    </row>
    <row r="6" spans="2:4" x14ac:dyDescent="0.35">
      <c r="B6" s="6" t="s">
        <v>49</v>
      </c>
      <c r="C6" s="9">
        <v>-6.7000000000000002E-6</v>
      </c>
      <c r="D6" s="6" t="s">
        <v>50</v>
      </c>
    </row>
    <row r="7" spans="2:4" x14ac:dyDescent="0.35">
      <c r="B7" s="6" t="s">
        <v>17</v>
      </c>
      <c r="C7" s="8">
        <v>1</v>
      </c>
      <c r="D7" s="6" t="s">
        <v>18</v>
      </c>
    </row>
    <row r="8" spans="2:4" x14ac:dyDescent="0.35">
      <c r="B8" s="6" t="s">
        <v>19</v>
      </c>
      <c r="C8" s="9">
        <v>9.9999999999999995E-7</v>
      </c>
      <c r="D8" s="6" t="s">
        <v>51</v>
      </c>
    </row>
    <row r="9" spans="2:4" x14ac:dyDescent="0.35">
      <c r="B9" s="6" t="s">
        <v>21</v>
      </c>
      <c r="C9" s="7">
        <v>130000000</v>
      </c>
      <c r="D9" s="6" t="s">
        <v>52</v>
      </c>
    </row>
    <row r="10" spans="2:4" x14ac:dyDescent="0.35">
      <c r="B10" s="6" t="s">
        <v>23</v>
      </c>
      <c r="C10" s="6" t="s">
        <v>53</v>
      </c>
    </row>
    <row r="12" spans="2:4" x14ac:dyDescent="0.35">
      <c r="B12" s="4" t="s">
        <v>54</v>
      </c>
      <c r="C12" s="5"/>
      <c r="D12" s="5"/>
    </row>
    <row r="13" spans="2:4" x14ac:dyDescent="0.35">
      <c r="B13" s="6" t="s">
        <v>55</v>
      </c>
      <c r="C13" s="12">
        <f>g_Di</f>
        <v>525</v>
      </c>
      <c r="D13" s="6" t="s">
        <v>56</v>
      </c>
    </row>
    <row r="14" spans="2:4" x14ac:dyDescent="0.35">
      <c r="B14" s="6" t="s">
        <v>57</v>
      </c>
      <c r="C14" s="15">
        <f>2*g_Ds</f>
        <v>-1.34E-5</v>
      </c>
      <c r="D14" s="6" t="s">
        <v>58</v>
      </c>
    </row>
    <row r="16" spans="2:4" x14ac:dyDescent="0.35">
      <c r="B16" s="4" t="s">
        <v>59</v>
      </c>
      <c r="C16" s="5"/>
      <c r="D16" s="5"/>
    </row>
    <row r="17" spans="2:4" x14ac:dyDescent="0.35">
      <c r="B17" s="6" t="s">
        <v>26</v>
      </c>
      <c r="C17" s="10">
        <f>(g_Di-g_a)/(2*g_b-2*g_Ds)</f>
        <v>34025974.02597402</v>
      </c>
      <c r="D17" s="6" t="s">
        <v>60</v>
      </c>
    </row>
    <row r="18" spans="2:4" x14ac:dyDescent="0.35">
      <c r="B18" s="6" t="s">
        <v>61</v>
      </c>
      <c r="C18" s="16">
        <f>g_Di+g_Ds*g_Qopt</f>
        <v>297.02597402597405</v>
      </c>
      <c r="D18" s="6" t="s">
        <v>62</v>
      </c>
    </row>
    <row r="19" spans="2:4" x14ac:dyDescent="0.35">
      <c r="B19" s="6" t="s">
        <v>63</v>
      </c>
      <c r="C19" s="11">
        <f>g_Di+2*g_Ds*g_Qopt</f>
        <v>69.051948051948102</v>
      </c>
      <c r="D19" s="6" t="s">
        <v>64</v>
      </c>
    </row>
    <row r="20" spans="2:4" x14ac:dyDescent="0.35">
      <c r="B20" s="6" t="s">
        <v>28</v>
      </c>
      <c r="C20" s="11">
        <f>g_a+2*g_b*g_Qopt</f>
        <v>69.051948051948031</v>
      </c>
    </row>
    <row r="21" spans="2:4" x14ac:dyDescent="0.35">
      <c r="B21" s="6" t="s">
        <v>30</v>
      </c>
      <c r="C21" s="12">
        <f>g_Popt*g_Qopt</f>
        <v>10106598077.247427</v>
      </c>
    </row>
    <row r="22" spans="2:4" x14ac:dyDescent="0.35">
      <c r="B22" s="6" t="s">
        <v>31</v>
      </c>
      <c r="C22" s="12">
        <f>g_a*g_Qopt+g_b*g_Qopt^2</f>
        <v>1191792882.4422328</v>
      </c>
      <c r="D22" s="6" t="s">
        <v>32</v>
      </c>
    </row>
    <row r="23" spans="2:4" x14ac:dyDescent="0.35">
      <c r="B23" s="6" t="s">
        <v>33</v>
      </c>
      <c r="C23" s="12">
        <f>g_a*g_Qopt+g_b*g_Qopt^2+g_FC</f>
        <v>1321792882.4422328</v>
      </c>
    </row>
    <row r="24" spans="2:4" x14ac:dyDescent="0.35">
      <c r="B24" s="6" t="s">
        <v>34</v>
      </c>
      <c r="C24" s="12">
        <f>g_Popt*g_Qopt-(g_a*g_Qopt+g_b*g_Qopt^2+g_FC)</f>
        <v>8784805194.8051949</v>
      </c>
      <c r="D24" s="6" t="s">
        <v>65</v>
      </c>
    </row>
    <row r="25" spans="2:4" x14ac:dyDescent="0.35">
      <c r="B25" s="6" t="s">
        <v>66</v>
      </c>
      <c r="C25" s="17">
        <f>g_Popt/(g_a+2*g_b*g_Qopt)</f>
        <v>4.3014858002633076</v>
      </c>
      <c r="D25" s="6" t="s">
        <v>67</v>
      </c>
    </row>
    <row r="26" spans="2:4" x14ac:dyDescent="0.35">
      <c r="B26" s="6" t="s">
        <v>68</v>
      </c>
      <c r="C26" s="18">
        <f>IFERROR((g_Popt-(g_a+2*g_b*g_Qopt))/g_Popt,"-")</f>
        <v>0.76752218967251107</v>
      </c>
      <c r="D26" s="6" t="s">
        <v>69</v>
      </c>
    </row>
    <row r="28" spans="2:4" x14ac:dyDescent="0.35">
      <c r="B28" s="4" t="s">
        <v>70</v>
      </c>
      <c r="C28" s="5"/>
      <c r="D28" s="5"/>
    </row>
    <row r="29" spans="2:4" x14ac:dyDescent="0.35">
      <c r="B29" s="6" t="s">
        <v>71</v>
      </c>
      <c r="C29" s="14">
        <f>(g_Di-g_a)/(2*g_b-g_Ds)</f>
        <v>60229885.057471268</v>
      </c>
      <c r="D29" s="6" t="s">
        <v>72</v>
      </c>
    </row>
    <row r="30" spans="2:4" x14ac:dyDescent="0.35">
      <c r="B30" s="6" t="s">
        <v>73</v>
      </c>
      <c r="C30" s="11">
        <f>g_Di+g_Ds*((g_Di-g_a)/(2*g_b-g_Ds))</f>
        <v>121.4597701149425</v>
      </c>
      <c r="D30" s="6" t="s">
        <v>74</v>
      </c>
    </row>
    <row r="31" spans="2:4" x14ac:dyDescent="0.35">
      <c r="B31" s="6" t="s">
        <v>75</v>
      </c>
      <c r="C31" s="12">
        <f>0.5*(g_Popt-(g_a+2*g_b*g_Qopt))*(((g_Di-g_a)/(2*g_b-g_Ds))-g_Qopt)</f>
        <v>2986905547.0578098</v>
      </c>
      <c r="D31" s="6" t="s">
        <v>76</v>
      </c>
    </row>
    <row r="33" spans="2:11" x14ac:dyDescent="0.35">
      <c r="B33" s="4" t="s">
        <v>36</v>
      </c>
      <c r="C33" s="5"/>
      <c r="D33" s="5"/>
      <c r="E33" s="5"/>
      <c r="F33" s="5"/>
      <c r="G33" s="5"/>
      <c r="H33" s="5"/>
      <c r="I33" s="5"/>
      <c r="J33" s="5"/>
    </row>
    <row r="34" spans="2:11" x14ac:dyDescent="0.35">
      <c r="B34" s="13" t="s">
        <v>37</v>
      </c>
      <c r="C34" s="13" t="s">
        <v>77</v>
      </c>
      <c r="D34" s="13" t="s">
        <v>39</v>
      </c>
      <c r="E34" s="13" t="s">
        <v>40</v>
      </c>
      <c r="F34" s="13" t="s">
        <v>33</v>
      </c>
      <c r="G34" s="13" t="s">
        <v>41</v>
      </c>
      <c r="H34" s="13" t="s">
        <v>42</v>
      </c>
      <c r="I34" s="13" t="s">
        <v>43</v>
      </c>
      <c r="J34" s="13" t="s">
        <v>44</v>
      </c>
      <c r="K34" s="13" t="s">
        <v>45</v>
      </c>
    </row>
    <row r="35" spans="2:11" x14ac:dyDescent="0.35">
      <c r="B35" s="14">
        <v>0</v>
      </c>
      <c r="C35" s="11">
        <f t="shared" ref="C35:C59" si="0">g_Di+g_Ds*B35</f>
        <v>525</v>
      </c>
      <c r="D35" s="12">
        <f t="shared" ref="D35:D59" si="1">C35*B35</f>
        <v>0</v>
      </c>
      <c r="E35" s="12">
        <f t="shared" ref="E35:E59" si="2">g_a*B35+g_b*B35^2</f>
        <v>0</v>
      </c>
      <c r="F35" s="12">
        <f t="shared" ref="F35:F59" si="3">E35+g_FC</f>
        <v>130000000</v>
      </c>
      <c r="G35" s="12">
        <f t="shared" ref="G35:G59" si="4">D35-F35</f>
        <v>-130000000</v>
      </c>
    </row>
    <row r="36" spans="2:11" x14ac:dyDescent="0.35">
      <c r="B36" s="14">
        <v>2500000</v>
      </c>
      <c r="C36" s="11">
        <f t="shared" si="0"/>
        <v>508.25</v>
      </c>
      <c r="D36" s="12">
        <f t="shared" si="1"/>
        <v>1270625000</v>
      </c>
      <c r="E36" s="12">
        <f t="shared" si="2"/>
        <v>8750000</v>
      </c>
      <c r="F36" s="12">
        <f t="shared" si="3"/>
        <v>138750000</v>
      </c>
      <c r="G36" s="12">
        <f t="shared" si="4"/>
        <v>1131875000</v>
      </c>
      <c r="H36" s="11">
        <f t="shared" ref="H36:H59" si="5">(D36-D35)/(B36-B35)</f>
        <v>508.25</v>
      </c>
      <c r="I36" s="11">
        <f t="shared" ref="I36:I59" si="6">(F36-F35)/(B36-B35)</f>
        <v>3.5</v>
      </c>
      <c r="J36" s="6" t="str">
        <f t="shared" ref="J36:J58" si="7">IF(AND(H36&gt;I36,H37&lt;=I37),"&lt;-- MR ~ MC","")</f>
        <v/>
      </c>
      <c r="K36" s="14">
        <f t="shared" ref="K36:K59" si="8">(B36+B35)/2</f>
        <v>1250000</v>
      </c>
    </row>
    <row r="37" spans="2:11" x14ac:dyDescent="0.35">
      <c r="B37" s="14">
        <v>5000000</v>
      </c>
      <c r="C37" s="11">
        <f t="shared" si="0"/>
        <v>491.5</v>
      </c>
      <c r="D37" s="12">
        <f t="shared" si="1"/>
        <v>2457500000</v>
      </c>
      <c r="E37" s="12">
        <f t="shared" si="2"/>
        <v>30000000</v>
      </c>
      <c r="F37" s="12">
        <f t="shared" si="3"/>
        <v>160000000</v>
      </c>
      <c r="G37" s="12">
        <f t="shared" si="4"/>
        <v>2297500000</v>
      </c>
      <c r="H37" s="11">
        <f t="shared" si="5"/>
        <v>474.75</v>
      </c>
      <c r="I37" s="11">
        <f t="shared" si="6"/>
        <v>8.5</v>
      </c>
      <c r="J37" s="6" t="str">
        <f t="shared" si="7"/>
        <v/>
      </c>
      <c r="K37" s="14">
        <f t="shared" si="8"/>
        <v>3750000</v>
      </c>
    </row>
    <row r="38" spans="2:11" x14ac:dyDescent="0.35">
      <c r="B38" s="14">
        <v>7500000</v>
      </c>
      <c r="C38" s="11">
        <f t="shared" si="0"/>
        <v>474.75</v>
      </c>
      <c r="D38" s="12">
        <f t="shared" si="1"/>
        <v>3560625000</v>
      </c>
      <c r="E38" s="12">
        <f t="shared" si="2"/>
        <v>63750000</v>
      </c>
      <c r="F38" s="12">
        <f t="shared" si="3"/>
        <v>193750000</v>
      </c>
      <c r="G38" s="12">
        <f t="shared" si="4"/>
        <v>3366875000</v>
      </c>
      <c r="H38" s="11">
        <f t="shared" si="5"/>
        <v>441.25</v>
      </c>
      <c r="I38" s="11">
        <f t="shared" si="6"/>
        <v>13.5</v>
      </c>
      <c r="J38" s="6" t="str">
        <f t="shared" si="7"/>
        <v/>
      </c>
      <c r="K38" s="14">
        <f t="shared" si="8"/>
        <v>6250000</v>
      </c>
    </row>
    <row r="39" spans="2:11" x14ac:dyDescent="0.35">
      <c r="B39" s="14">
        <v>10000000</v>
      </c>
      <c r="C39" s="11">
        <f t="shared" si="0"/>
        <v>458</v>
      </c>
      <c r="D39" s="12">
        <f t="shared" si="1"/>
        <v>4580000000</v>
      </c>
      <c r="E39" s="12">
        <f t="shared" si="2"/>
        <v>110000000</v>
      </c>
      <c r="F39" s="12">
        <f t="shared" si="3"/>
        <v>240000000</v>
      </c>
      <c r="G39" s="12">
        <f t="shared" si="4"/>
        <v>4340000000</v>
      </c>
      <c r="H39" s="11">
        <f t="shared" si="5"/>
        <v>407.75</v>
      </c>
      <c r="I39" s="11">
        <f t="shared" si="6"/>
        <v>18.5</v>
      </c>
      <c r="J39" s="6" t="str">
        <f t="shared" si="7"/>
        <v/>
      </c>
      <c r="K39" s="14">
        <f t="shared" si="8"/>
        <v>8750000</v>
      </c>
    </row>
    <row r="40" spans="2:11" x14ac:dyDescent="0.35">
      <c r="B40" s="14">
        <v>12500000</v>
      </c>
      <c r="C40" s="11">
        <f t="shared" si="0"/>
        <v>441.25</v>
      </c>
      <c r="D40" s="12">
        <f t="shared" si="1"/>
        <v>5515625000</v>
      </c>
      <c r="E40" s="12">
        <f t="shared" si="2"/>
        <v>168750000</v>
      </c>
      <c r="F40" s="12">
        <f t="shared" si="3"/>
        <v>298750000</v>
      </c>
      <c r="G40" s="12">
        <f t="shared" si="4"/>
        <v>5216875000</v>
      </c>
      <c r="H40" s="11">
        <f t="shared" si="5"/>
        <v>374.25</v>
      </c>
      <c r="I40" s="11">
        <f t="shared" si="6"/>
        <v>23.5</v>
      </c>
      <c r="J40" s="6" t="str">
        <f t="shared" si="7"/>
        <v/>
      </c>
      <c r="K40" s="14">
        <f t="shared" si="8"/>
        <v>11250000</v>
      </c>
    </row>
    <row r="41" spans="2:11" x14ac:dyDescent="0.35">
      <c r="B41" s="14">
        <v>15000000</v>
      </c>
      <c r="C41" s="11">
        <f t="shared" si="0"/>
        <v>424.5</v>
      </c>
      <c r="D41" s="12">
        <f t="shared" si="1"/>
        <v>6367500000</v>
      </c>
      <c r="E41" s="12">
        <f t="shared" si="2"/>
        <v>240000000</v>
      </c>
      <c r="F41" s="12">
        <f t="shared" si="3"/>
        <v>370000000</v>
      </c>
      <c r="G41" s="12">
        <f t="shared" si="4"/>
        <v>5997500000</v>
      </c>
      <c r="H41" s="11">
        <f t="shared" si="5"/>
        <v>340.75</v>
      </c>
      <c r="I41" s="11">
        <f t="shared" si="6"/>
        <v>28.5</v>
      </c>
      <c r="J41" s="6" t="str">
        <f t="shared" si="7"/>
        <v/>
      </c>
      <c r="K41" s="14">
        <f t="shared" si="8"/>
        <v>13750000</v>
      </c>
    </row>
    <row r="42" spans="2:11" x14ac:dyDescent="0.35">
      <c r="B42" s="14">
        <v>17500000</v>
      </c>
      <c r="C42" s="11">
        <f t="shared" si="0"/>
        <v>407.75</v>
      </c>
      <c r="D42" s="12">
        <f t="shared" si="1"/>
        <v>7135625000</v>
      </c>
      <c r="E42" s="12">
        <f t="shared" si="2"/>
        <v>323750000</v>
      </c>
      <c r="F42" s="12">
        <f t="shared" si="3"/>
        <v>453750000</v>
      </c>
      <c r="G42" s="12">
        <f t="shared" si="4"/>
        <v>6681875000</v>
      </c>
      <c r="H42" s="11">
        <f t="shared" si="5"/>
        <v>307.25</v>
      </c>
      <c r="I42" s="11">
        <f t="shared" si="6"/>
        <v>33.5</v>
      </c>
      <c r="J42" s="6" t="str">
        <f t="shared" si="7"/>
        <v/>
      </c>
      <c r="K42" s="14">
        <f t="shared" si="8"/>
        <v>16250000</v>
      </c>
    </row>
    <row r="43" spans="2:11" x14ac:dyDescent="0.35">
      <c r="B43" s="14">
        <v>20000000</v>
      </c>
      <c r="C43" s="11">
        <f t="shared" si="0"/>
        <v>391</v>
      </c>
      <c r="D43" s="12">
        <f t="shared" si="1"/>
        <v>7820000000</v>
      </c>
      <c r="E43" s="12">
        <f t="shared" si="2"/>
        <v>420000000</v>
      </c>
      <c r="F43" s="12">
        <f t="shared" si="3"/>
        <v>550000000</v>
      </c>
      <c r="G43" s="12">
        <f t="shared" si="4"/>
        <v>7270000000</v>
      </c>
      <c r="H43" s="11">
        <f t="shared" si="5"/>
        <v>273.75</v>
      </c>
      <c r="I43" s="11">
        <f t="shared" si="6"/>
        <v>38.5</v>
      </c>
      <c r="J43" s="6" t="str">
        <f t="shared" si="7"/>
        <v/>
      </c>
      <c r="K43" s="14">
        <f t="shared" si="8"/>
        <v>18750000</v>
      </c>
    </row>
    <row r="44" spans="2:11" x14ac:dyDescent="0.35">
      <c r="B44" s="14">
        <v>22500000</v>
      </c>
      <c r="C44" s="11">
        <f t="shared" si="0"/>
        <v>374.25</v>
      </c>
      <c r="D44" s="12">
        <f t="shared" si="1"/>
        <v>8420625000</v>
      </c>
      <c r="E44" s="12">
        <f t="shared" si="2"/>
        <v>528750000</v>
      </c>
      <c r="F44" s="12">
        <f t="shared" si="3"/>
        <v>658750000</v>
      </c>
      <c r="G44" s="12">
        <f t="shared" si="4"/>
        <v>7761875000</v>
      </c>
      <c r="H44" s="11">
        <f t="shared" si="5"/>
        <v>240.25</v>
      </c>
      <c r="I44" s="11">
        <f t="shared" si="6"/>
        <v>43.5</v>
      </c>
      <c r="J44" s="6" t="str">
        <f t="shared" si="7"/>
        <v/>
      </c>
      <c r="K44" s="14">
        <f t="shared" si="8"/>
        <v>21250000</v>
      </c>
    </row>
    <row r="45" spans="2:11" x14ac:dyDescent="0.35">
      <c r="B45" s="14">
        <v>25000000</v>
      </c>
      <c r="C45" s="11">
        <f t="shared" si="0"/>
        <v>357.5</v>
      </c>
      <c r="D45" s="12">
        <f t="shared" si="1"/>
        <v>8937500000</v>
      </c>
      <c r="E45" s="12">
        <f t="shared" si="2"/>
        <v>650000000</v>
      </c>
      <c r="F45" s="12">
        <f t="shared" si="3"/>
        <v>780000000</v>
      </c>
      <c r="G45" s="12">
        <f t="shared" si="4"/>
        <v>8157500000</v>
      </c>
      <c r="H45" s="11">
        <f t="shared" si="5"/>
        <v>206.75</v>
      </c>
      <c r="I45" s="11">
        <f t="shared" si="6"/>
        <v>48.5</v>
      </c>
      <c r="J45" s="6" t="str">
        <f t="shared" si="7"/>
        <v/>
      </c>
      <c r="K45" s="14">
        <f t="shared" si="8"/>
        <v>23750000</v>
      </c>
    </row>
    <row r="46" spans="2:11" x14ac:dyDescent="0.35">
      <c r="B46" s="14">
        <v>27500000</v>
      </c>
      <c r="C46" s="11">
        <f t="shared" si="0"/>
        <v>340.75</v>
      </c>
      <c r="D46" s="12">
        <f t="shared" si="1"/>
        <v>9370625000</v>
      </c>
      <c r="E46" s="12">
        <f t="shared" si="2"/>
        <v>783750000</v>
      </c>
      <c r="F46" s="12">
        <f t="shared" si="3"/>
        <v>913750000</v>
      </c>
      <c r="G46" s="12">
        <f t="shared" si="4"/>
        <v>8456875000</v>
      </c>
      <c r="H46" s="11">
        <f t="shared" si="5"/>
        <v>173.25</v>
      </c>
      <c r="I46" s="11">
        <f t="shared" si="6"/>
        <v>53.5</v>
      </c>
      <c r="J46" s="6" t="str">
        <f t="shared" si="7"/>
        <v/>
      </c>
      <c r="K46" s="14">
        <f t="shared" si="8"/>
        <v>26250000</v>
      </c>
    </row>
    <row r="47" spans="2:11" x14ac:dyDescent="0.35">
      <c r="B47" s="14">
        <v>30000000</v>
      </c>
      <c r="C47" s="11">
        <f t="shared" si="0"/>
        <v>324</v>
      </c>
      <c r="D47" s="12">
        <f t="shared" si="1"/>
        <v>9720000000</v>
      </c>
      <c r="E47" s="12">
        <f t="shared" si="2"/>
        <v>930000000</v>
      </c>
      <c r="F47" s="12">
        <f t="shared" si="3"/>
        <v>1060000000</v>
      </c>
      <c r="G47" s="12">
        <f t="shared" si="4"/>
        <v>8660000000</v>
      </c>
      <c r="H47" s="11">
        <f t="shared" si="5"/>
        <v>139.75</v>
      </c>
      <c r="I47" s="11">
        <f t="shared" si="6"/>
        <v>58.5</v>
      </c>
      <c r="J47" s="6" t="str">
        <f t="shared" si="7"/>
        <v/>
      </c>
      <c r="K47" s="14">
        <f t="shared" si="8"/>
        <v>28750000</v>
      </c>
    </row>
    <row r="48" spans="2:11" x14ac:dyDescent="0.35">
      <c r="B48" s="14">
        <v>32500000</v>
      </c>
      <c r="C48" s="11">
        <f t="shared" si="0"/>
        <v>307.25</v>
      </c>
      <c r="D48" s="12">
        <f t="shared" si="1"/>
        <v>9985625000</v>
      </c>
      <c r="E48" s="12">
        <f t="shared" si="2"/>
        <v>1088750000</v>
      </c>
      <c r="F48" s="12">
        <f t="shared" si="3"/>
        <v>1218750000</v>
      </c>
      <c r="G48" s="12">
        <f t="shared" si="4"/>
        <v>8766875000</v>
      </c>
      <c r="H48" s="11">
        <f t="shared" si="5"/>
        <v>106.25</v>
      </c>
      <c r="I48" s="11">
        <f t="shared" si="6"/>
        <v>63.5</v>
      </c>
      <c r="J48" s="6" t="str">
        <f t="shared" si="7"/>
        <v/>
      </c>
      <c r="K48" s="14">
        <f t="shared" si="8"/>
        <v>31250000</v>
      </c>
    </row>
    <row r="49" spans="2:11" x14ac:dyDescent="0.35">
      <c r="B49" s="14">
        <v>35000000</v>
      </c>
      <c r="C49" s="11">
        <f t="shared" si="0"/>
        <v>290.5</v>
      </c>
      <c r="D49" s="12">
        <f t="shared" si="1"/>
        <v>10167500000</v>
      </c>
      <c r="E49" s="12">
        <f t="shared" si="2"/>
        <v>1260000000</v>
      </c>
      <c r="F49" s="12">
        <f t="shared" si="3"/>
        <v>1390000000</v>
      </c>
      <c r="G49" s="12">
        <f t="shared" si="4"/>
        <v>8777500000</v>
      </c>
      <c r="H49" s="11">
        <f t="shared" si="5"/>
        <v>72.75</v>
      </c>
      <c r="I49" s="11">
        <f t="shared" si="6"/>
        <v>68.5</v>
      </c>
      <c r="J49" s="6" t="str">
        <f t="shared" si="7"/>
        <v>&lt;-- MR ~ MC</v>
      </c>
      <c r="K49" s="14">
        <f t="shared" si="8"/>
        <v>33750000</v>
      </c>
    </row>
    <row r="50" spans="2:11" x14ac:dyDescent="0.35">
      <c r="B50" s="14">
        <v>37500000</v>
      </c>
      <c r="C50" s="11">
        <f t="shared" si="0"/>
        <v>273.75</v>
      </c>
      <c r="D50" s="12">
        <f t="shared" si="1"/>
        <v>10265625000</v>
      </c>
      <c r="E50" s="12">
        <f t="shared" si="2"/>
        <v>1443750000</v>
      </c>
      <c r="F50" s="12">
        <f t="shared" si="3"/>
        <v>1573750000</v>
      </c>
      <c r="G50" s="12">
        <f t="shared" si="4"/>
        <v>8691875000</v>
      </c>
      <c r="H50" s="11">
        <f t="shared" si="5"/>
        <v>39.25</v>
      </c>
      <c r="I50" s="11">
        <f t="shared" si="6"/>
        <v>73.5</v>
      </c>
      <c r="J50" s="6" t="str">
        <f t="shared" si="7"/>
        <v/>
      </c>
      <c r="K50" s="14">
        <f t="shared" si="8"/>
        <v>36250000</v>
      </c>
    </row>
    <row r="51" spans="2:11" x14ac:dyDescent="0.35">
      <c r="B51" s="14">
        <v>40000000</v>
      </c>
      <c r="C51" s="11">
        <f t="shared" si="0"/>
        <v>257</v>
      </c>
      <c r="D51" s="12">
        <f t="shared" si="1"/>
        <v>10280000000</v>
      </c>
      <c r="E51" s="12">
        <f t="shared" si="2"/>
        <v>1640000000</v>
      </c>
      <c r="F51" s="12">
        <f t="shared" si="3"/>
        <v>1770000000</v>
      </c>
      <c r="G51" s="12">
        <f t="shared" si="4"/>
        <v>8510000000</v>
      </c>
      <c r="H51" s="11">
        <f t="shared" si="5"/>
        <v>5.75</v>
      </c>
      <c r="I51" s="11">
        <f t="shared" si="6"/>
        <v>78.5</v>
      </c>
      <c r="J51" s="6" t="str">
        <f t="shared" si="7"/>
        <v/>
      </c>
      <c r="K51" s="14">
        <f t="shared" si="8"/>
        <v>38750000</v>
      </c>
    </row>
    <row r="52" spans="2:11" x14ac:dyDescent="0.35">
      <c r="B52" s="14">
        <v>42500000</v>
      </c>
      <c r="C52" s="11">
        <f t="shared" si="0"/>
        <v>240.25</v>
      </c>
      <c r="D52" s="12">
        <f t="shared" si="1"/>
        <v>10210625000</v>
      </c>
      <c r="E52" s="12">
        <f t="shared" si="2"/>
        <v>1848750000</v>
      </c>
      <c r="F52" s="12">
        <f t="shared" si="3"/>
        <v>1978750000</v>
      </c>
      <c r="G52" s="12">
        <f t="shared" si="4"/>
        <v>8231875000</v>
      </c>
      <c r="H52" s="11">
        <f t="shared" si="5"/>
        <v>-27.75</v>
      </c>
      <c r="I52" s="11">
        <f t="shared" si="6"/>
        <v>83.5</v>
      </c>
      <c r="J52" s="6" t="str">
        <f t="shared" si="7"/>
        <v/>
      </c>
      <c r="K52" s="14">
        <f t="shared" si="8"/>
        <v>41250000</v>
      </c>
    </row>
    <row r="53" spans="2:11" x14ac:dyDescent="0.35">
      <c r="B53" s="14">
        <v>45000000</v>
      </c>
      <c r="C53" s="11">
        <f t="shared" si="0"/>
        <v>223.5</v>
      </c>
      <c r="D53" s="12">
        <f t="shared" si="1"/>
        <v>10057500000</v>
      </c>
      <c r="E53" s="12">
        <f t="shared" si="2"/>
        <v>2070000000</v>
      </c>
      <c r="F53" s="12">
        <f t="shared" si="3"/>
        <v>2200000000</v>
      </c>
      <c r="G53" s="12">
        <f t="shared" si="4"/>
        <v>7857500000</v>
      </c>
      <c r="H53" s="11">
        <f t="shared" si="5"/>
        <v>-61.25</v>
      </c>
      <c r="I53" s="11">
        <f t="shared" si="6"/>
        <v>88.5</v>
      </c>
      <c r="J53" s="6" t="str">
        <f t="shared" si="7"/>
        <v/>
      </c>
      <c r="K53" s="14">
        <f t="shared" si="8"/>
        <v>43750000</v>
      </c>
    </row>
    <row r="54" spans="2:11" x14ac:dyDescent="0.35">
      <c r="B54" s="14">
        <v>47500000</v>
      </c>
      <c r="C54" s="11">
        <f t="shared" si="0"/>
        <v>206.75</v>
      </c>
      <c r="D54" s="12">
        <f t="shared" si="1"/>
        <v>9820625000</v>
      </c>
      <c r="E54" s="12">
        <f t="shared" si="2"/>
        <v>2303750000</v>
      </c>
      <c r="F54" s="12">
        <f t="shared" si="3"/>
        <v>2433750000</v>
      </c>
      <c r="G54" s="12">
        <f t="shared" si="4"/>
        <v>7386875000</v>
      </c>
      <c r="H54" s="11">
        <f t="shared" si="5"/>
        <v>-94.75</v>
      </c>
      <c r="I54" s="11">
        <f t="shared" si="6"/>
        <v>93.5</v>
      </c>
      <c r="J54" s="6" t="str">
        <f t="shared" si="7"/>
        <v/>
      </c>
      <c r="K54" s="14">
        <f t="shared" si="8"/>
        <v>46250000</v>
      </c>
    </row>
    <row r="55" spans="2:11" x14ac:dyDescent="0.35">
      <c r="B55" s="14">
        <v>50000000</v>
      </c>
      <c r="C55" s="11">
        <f t="shared" si="0"/>
        <v>190</v>
      </c>
      <c r="D55" s="12">
        <f t="shared" si="1"/>
        <v>9500000000</v>
      </c>
      <c r="E55" s="12">
        <f t="shared" si="2"/>
        <v>2550000000</v>
      </c>
      <c r="F55" s="12">
        <f t="shared" si="3"/>
        <v>2680000000</v>
      </c>
      <c r="G55" s="12">
        <f t="shared" si="4"/>
        <v>6820000000</v>
      </c>
      <c r="H55" s="11">
        <f t="shared" si="5"/>
        <v>-128.25</v>
      </c>
      <c r="I55" s="11">
        <f t="shared" si="6"/>
        <v>98.5</v>
      </c>
      <c r="J55" s="6" t="str">
        <f t="shared" si="7"/>
        <v/>
      </c>
      <c r="K55" s="14">
        <f t="shared" si="8"/>
        <v>48750000</v>
      </c>
    </row>
    <row r="56" spans="2:11" x14ac:dyDescent="0.35">
      <c r="B56" s="14">
        <v>52500000</v>
      </c>
      <c r="C56" s="11">
        <f t="shared" si="0"/>
        <v>173.25</v>
      </c>
      <c r="D56" s="12">
        <f t="shared" si="1"/>
        <v>9095625000</v>
      </c>
      <c r="E56" s="12">
        <f t="shared" si="2"/>
        <v>2808750000</v>
      </c>
      <c r="F56" s="12">
        <f t="shared" si="3"/>
        <v>2938750000</v>
      </c>
      <c r="G56" s="12">
        <f t="shared" si="4"/>
        <v>6156875000</v>
      </c>
      <c r="H56" s="11">
        <f t="shared" si="5"/>
        <v>-161.75</v>
      </c>
      <c r="I56" s="11">
        <f t="shared" si="6"/>
        <v>103.5</v>
      </c>
      <c r="J56" s="6" t="str">
        <f t="shared" si="7"/>
        <v/>
      </c>
      <c r="K56" s="14">
        <f t="shared" si="8"/>
        <v>51250000</v>
      </c>
    </row>
    <row r="57" spans="2:11" x14ac:dyDescent="0.35">
      <c r="B57" s="14">
        <v>55000000</v>
      </c>
      <c r="C57" s="11">
        <f t="shared" si="0"/>
        <v>156.5</v>
      </c>
      <c r="D57" s="12">
        <f t="shared" si="1"/>
        <v>8607500000</v>
      </c>
      <c r="E57" s="12">
        <f t="shared" si="2"/>
        <v>3080000000</v>
      </c>
      <c r="F57" s="12">
        <f t="shared" si="3"/>
        <v>3210000000</v>
      </c>
      <c r="G57" s="12">
        <f t="shared" si="4"/>
        <v>5397500000</v>
      </c>
      <c r="H57" s="11">
        <f t="shared" si="5"/>
        <v>-195.25</v>
      </c>
      <c r="I57" s="11">
        <f t="shared" si="6"/>
        <v>108.5</v>
      </c>
      <c r="J57" s="6" t="str">
        <f t="shared" si="7"/>
        <v/>
      </c>
      <c r="K57" s="14">
        <f t="shared" si="8"/>
        <v>53750000</v>
      </c>
    </row>
    <row r="58" spans="2:11" x14ac:dyDescent="0.35">
      <c r="B58" s="14">
        <v>57500000</v>
      </c>
      <c r="C58" s="11">
        <f t="shared" si="0"/>
        <v>139.75</v>
      </c>
      <c r="D58" s="12">
        <f t="shared" si="1"/>
        <v>8035625000</v>
      </c>
      <c r="E58" s="12">
        <f t="shared" si="2"/>
        <v>3363750000</v>
      </c>
      <c r="F58" s="12">
        <f t="shared" si="3"/>
        <v>3493750000</v>
      </c>
      <c r="G58" s="12">
        <f t="shared" si="4"/>
        <v>4541875000</v>
      </c>
      <c r="H58" s="11">
        <f t="shared" si="5"/>
        <v>-228.75</v>
      </c>
      <c r="I58" s="11">
        <f t="shared" si="6"/>
        <v>113.5</v>
      </c>
      <c r="J58" s="6" t="str">
        <f t="shared" si="7"/>
        <v/>
      </c>
      <c r="K58" s="14">
        <f t="shared" si="8"/>
        <v>56250000</v>
      </c>
    </row>
    <row r="59" spans="2:11" x14ac:dyDescent="0.35">
      <c r="B59" s="14">
        <v>60000000</v>
      </c>
      <c r="C59" s="11">
        <f t="shared" si="0"/>
        <v>123</v>
      </c>
      <c r="D59" s="12">
        <f t="shared" si="1"/>
        <v>7380000000</v>
      </c>
      <c r="E59" s="12">
        <f t="shared" si="2"/>
        <v>3660000000</v>
      </c>
      <c r="F59" s="12">
        <f t="shared" si="3"/>
        <v>3790000000</v>
      </c>
      <c r="G59" s="12">
        <f t="shared" si="4"/>
        <v>3590000000</v>
      </c>
      <c r="H59" s="11">
        <f t="shared" si="5"/>
        <v>-262.25</v>
      </c>
      <c r="I59" s="11">
        <f t="shared" si="6"/>
        <v>118.5</v>
      </c>
      <c r="K59" s="14">
        <f t="shared" si="8"/>
        <v>58750000</v>
      </c>
    </row>
    <row r="61" spans="2:11" x14ac:dyDescent="0.35">
      <c r="B61" s="4" t="s">
        <v>78</v>
      </c>
      <c r="C61" s="5"/>
      <c r="D61" s="5"/>
    </row>
    <row r="62" spans="2:11" x14ac:dyDescent="0.35">
      <c r="B62" s="2" t="s">
        <v>79</v>
      </c>
      <c r="C62" s="6" t="s">
        <v>80</v>
      </c>
    </row>
    <row r="63" spans="2:11" x14ac:dyDescent="0.35">
      <c r="B63" s="2" t="s">
        <v>81</v>
      </c>
      <c r="C63" s="6" t="s">
        <v>82</v>
      </c>
    </row>
    <row r="64" spans="2:11" x14ac:dyDescent="0.35">
      <c r="B64" s="2" t="s">
        <v>83</v>
      </c>
      <c r="C64" s="6" t="s">
        <v>84</v>
      </c>
    </row>
    <row r="65" spans="2:3" x14ac:dyDescent="0.35">
      <c r="B65" s="2" t="s">
        <v>85</v>
      </c>
      <c r="C65" s="6" t="s">
        <v>86</v>
      </c>
    </row>
    <row r="66" spans="2:3" x14ac:dyDescent="0.35">
      <c r="B66" s="2" t="s">
        <v>87</v>
      </c>
      <c r="C66" s="6" t="s">
        <v>88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README</vt:lpstr>
      <vt:lpstr>NonGMO Perfect</vt:lpstr>
      <vt:lpstr>GMO Monopoly</vt:lpstr>
      <vt:lpstr>g_a</vt:lpstr>
      <vt:lpstr>g_b</vt:lpstr>
      <vt:lpstr>g_Di</vt:lpstr>
      <vt:lpstr>g_Ds</vt:lpstr>
      <vt:lpstr>g_FC</vt:lpstr>
      <vt:lpstr>g_Popt</vt:lpstr>
      <vt:lpstr>g_Qopt</vt:lpstr>
      <vt:lpstr>ng_a</vt:lpstr>
      <vt:lpstr>ng_b</vt:lpstr>
      <vt:lpstr>ng_FC</vt:lpstr>
      <vt:lpstr>ng_P</vt:lpstr>
      <vt:lpstr>ng_Qopt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2026-07-07T20:02:11Z</dcterms:created>
  <dcterms:modified xsi:type="dcterms:W3CDTF">2026-07-07T20:04:43Z</dcterms:modified>
</cp:coreProperties>
</file>