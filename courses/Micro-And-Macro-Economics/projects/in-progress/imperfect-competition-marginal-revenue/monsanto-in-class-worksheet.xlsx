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<sst xmlns="http://schemas.openxmlformats.org/spreadsheetml/2006/main" count="41" uniqueCount="33">
  <si>
    <t xml:space="preserve">Monsanto seed market — in-class worksheet (corrected rebuild, 2026-07)</t>
  </si>
  <si>
    <t xml:space="preserve">Replaces the archived 'Monsanto Case Study worksheet in class.xlsx', whose variable-cost formula equaled revenue (forcing profit ≡ −$130m) and whose total cost used FC + MC·Q. Formulas here match monsanto-seed-market-key.xlsx: TVC = a·Q + b·Q² → MC = a + 2b·Q; variable cost = AREA UNDER MC, never MC × Q.</t>
  </si>
  <si>
    <t xml:space="preserve">Yellow cells = filled live in class. Blue = inputs. Checks when filled: non-GMO Q* 3,966,667, profit $106.0m · GMO Q* 34,025,974, P* $297.03, profit $8.785bn.</t>
  </si>
  <si>
    <t xml:space="preserve">PERFECT — non-GMO corn seed (price taker)</t>
  </si>
  <si>
    <t xml:space="preserve">IMPERFECT — GMO Roundup Ready corn (price maker)</t>
  </si>
  <si>
    <t xml:space="preserve">Market price P ($/bag)</t>
  </si>
  <si>
    <t xml:space="preserve">flat demand — the market sets it</t>
  </si>
  <si>
    <t xml:space="preserve">Demand intercept ($/bag)</t>
  </si>
  <si>
    <t xml:space="preserve">P = 525 − 0.0000067·Q</t>
  </si>
  <si>
    <t xml:space="preserve">MC intercept a ($/bag)</t>
  </si>
  <si>
    <t xml:space="preserve">TVC = a·Q + b·Q²  →  MC = a + 2b·Q</t>
  </si>
  <si>
    <t xml:space="preserve">Demand slope</t>
  </si>
  <si>
    <t xml:space="preserve">one more bag lowers P on ALL bags</t>
  </si>
  <si>
    <t xml:space="preserve">MC curvature b</t>
  </si>
  <si>
    <t xml:space="preserve">MR intercept</t>
  </si>
  <si>
    <t xml:space="preserve">&lt;- fill live: same intercept as demand</t>
  </si>
  <si>
    <t xml:space="preserve">Fixed costs ($)</t>
  </si>
  <si>
    <t xml:space="preserve">MR slope</t>
  </si>
  <si>
    <t xml:space="preserve">&lt;- fill live: TWICE the demand slope</t>
  </si>
  <si>
    <t xml:space="preserve">Optimal output Q* (bags)</t>
  </si>
  <si>
    <t xml:space="preserve">&lt;- fill live: P = MC  →  Q* = (P − a) / (2b)</t>
  </si>
  <si>
    <t xml:space="preserve">MC = a + 2b·Q</t>
  </si>
  <si>
    <t xml:space="preserve">Revenue @ Q*</t>
  </si>
  <si>
    <t xml:space="preserve">Variable cost (area under MC)</t>
  </si>
  <si>
    <t xml:space="preserve">Total cost (VC + FC)</t>
  </si>
  <si>
    <t xml:space="preserve">&lt;- fill live: MR = MC  →  Q* = (Di − a) / (2b − 2·Ds)</t>
  </si>
  <si>
    <t xml:space="preserve">Profit @ Q*</t>
  </si>
  <si>
    <t xml:space="preserve">Price P* @ Q*</t>
  </si>
  <si>
    <t xml:space="preserve">read P* off the DEMAND curve, never off MR</t>
  </si>
  <si>
    <t xml:space="preserve">Profit per bag</t>
  </si>
  <si>
    <t xml:space="preserve">MR @ Q*</t>
  </si>
  <si>
    <t xml:space="preserve">MC @ Q*</t>
  </si>
  <si>
    <t xml:space="preserve">Variable cost (area under MC — NOT MC × Q)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</si>
</sst>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\$#,##0;&quot;($&quot;#,##0\);\-"/>
    <numFmt numFmtId="167" formatCode="0.000000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ptos Narrow"/>
      <family val="0"/>
      <charset val="1"/>
    </font>
    <font>
      <sz val="10"/>
      <name val="Aptos Narrow"/>
      <family val="0"/>
      <charset val="1"/>
    </font>
    <font>
      <b val="true"/>
      <sz val="18"/>
      <name val="Aptos Narrow"/>
      <family val="0"/>
      <charset val="1"/>
    </font>
    <font>
      <sz val="18"/>
      <name val="Aptos Narrow"/>
      <family val="0"/>
      <charset val="1"/>
    </font>
    <font>
      <sz val="18"/>
      <color rgb="FF0000FF"/>
      <name val="Aptos Narrow"/>
      <family val="0"/>
      <charset val="1"/>
    </font>
    <font>
      <sz val="18"/>
      <color rgb="FFFFFF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4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22"/>
    <col collapsed="false" customWidth="true" hidden="false" outlineLevel="0" max="9" min="9" style="0" width="48"/>
  </cols>
  <sheetData>
    <row r="1" customFormat="false" ht="13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3" customFormat="false" ht="13.5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3"/>
    </row>
    <row r="5" customFormat="false" ht="22.05" hidden="false" customHeight="false" outlineLevel="0" collapsed="false">
      <c r="B5" s="4" t="s">
        <v>3</v>
      </c>
      <c r="G5" s="4" t="s">
        <v>4</v>
      </c>
    </row>
    <row r="6" customFormat="false" ht="22.05" hidden="false" customHeight="false" outlineLevel="0" collapsed="false">
      <c r="B6" s="5" t="s">
        <v>5</v>
      </c>
      <c r="C6" s="6" t="n">
        <v>120</v>
      </c>
      <c r="D6" s="5" t="s">
        <v>6</v>
      </c>
      <c r="G6" s="5" t="s">
        <v>7</v>
      </c>
      <c r="H6" s="7" t="n">
        <v>525</v>
      </c>
      <c r="I6" s="5" t="s">
        <v>8</v>
      </c>
    </row>
    <row r="7" customFormat="false" ht="22.05" hidden="false" customHeight="false" outlineLevel="0" collapsed="false">
      <c r="B7" s="5" t="s">
        <v>9</v>
      </c>
      <c r="C7" s="6" t="n">
        <v>1</v>
      </c>
      <c r="D7" s="5" t="s">
        <v>10</v>
      </c>
      <c r="G7" s="5" t="s">
        <v>11</v>
      </c>
      <c r="H7" s="8" t="n">
        <v>-6.7E-006</v>
      </c>
      <c r="I7" s="5" t="s">
        <v>12</v>
      </c>
    </row>
    <row r="8" customFormat="false" ht="22.05" hidden="false" customHeight="false" outlineLevel="0" collapsed="false">
      <c r="B8" s="5" t="s">
        <v>13</v>
      </c>
      <c r="C8" s="8" t="n">
        <v>1.5E-005</v>
      </c>
      <c r="F8" s="9" t="n">
        <f aca="false">H6</f>
        <v>525</v>
      </c>
      <c r="G8" s="4" t="s">
        <v>14</v>
      </c>
      <c r="H8" s="10"/>
      <c r="I8" s="4" t="s">
        <v>15</v>
      </c>
    </row>
    <row r="9" customFormat="false" ht="22.05" hidden="false" customHeight="false" outlineLevel="0" collapsed="false">
      <c r="B9" s="5" t="s">
        <v>16</v>
      </c>
      <c r="C9" s="7" t="n">
        <v>130000000</v>
      </c>
      <c r="F9" s="11" t="n">
        <f aca="false">2*H7</f>
        <v>-1.34E-005</v>
      </c>
      <c r="G9" s="4" t="s">
        <v>17</v>
      </c>
      <c r="H9" s="12"/>
      <c r="I9" s="4" t="s">
        <v>18</v>
      </c>
    </row>
    <row r="10" customFormat="false" ht="22.05" hidden="false" customHeight="false" outlineLevel="0" collapsed="false">
      <c r="G10" s="5" t="s">
        <v>9</v>
      </c>
      <c r="H10" s="6" t="n">
        <v>1</v>
      </c>
    </row>
    <row r="11" customFormat="false" ht="22.05" hidden="false" customHeight="false" outlineLevel="0" collapsed="false">
      <c r="A11" s="13" t="n">
        <f aca="false">(C6-C7)/(2*C8)</f>
        <v>3966666.66666667</v>
      </c>
      <c r="B11" s="4" t="s">
        <v>19</v>
      </c>
      <c r="C11" s="14"/>
      <c r="D11" s="4" t="s">
        <v>20</v>
      </c>
      <c r="G11" s="5" t="s">
        <v>13</v>
      </c>
      <c r="H11" s="8" t="n">
        <v>1E-006</v>
      </c>
      <c r="I11" s="5" t="s">
        <v>21</v>
      </c>
    </row>
    <row r="12" customFormat="false" ht="22.05" hidden="false" customHeight="false" outlineLevel="0" collapsed="false">
      <c r="B12" s="5" t="s">
        <v>22</v>
      </c>
      <c r="C12" s="15" t="n">
        <f aca="false">C6*C11</f>
        <v>0</v>
      </c>
      <c r="D12" s="5" t="str">
        <f aca="false">_xlfn.FORMULATEXT(C12)</f>
        <v>=C6*C11</v>
      </c>
      <c r="G12" s="5" t="s">
        <v>16</v>
      </c>
      <c r="H12" s="7" t="n">
        <v>130000000</v>
      </c>
    </row>
    <row r="13" customFormat="false" ht="22.05" hidden="false" customHeight="false" outlineLevel="0" collapsed="false">
      <c r="B13" s="5" t="s">
        <v>23</v>
      </c>
      <c r="C13" s="15" t="n">
        <f aca="false">C7*C11+C8*C11^2</f>
        <v>0</v>
      </c>
      <c r="D13" s="5" t="str">
        <f aca="false">_xlfn.FORMULATEXT(C13)</f>
        <v>=C7*C11+C8*C11^2</v>
      </c>
    </row>
    <row r="14" customFormat="false" ht="22.05" hidden="false" customHeight="false" outlineLevel="0" collapsed="false">
      <c r="B14" s="5" t="s">
        <v>24</v>
      </c>
      <c r="C14" s="15" t="n">
        <f aca="false">C13+C9</f>
        <v>130000000</v>
      </c>
      <c r="D14" s="5" t="str">
        <f aca="false">_xlfn.FORMULATEXT(C14)</f>
        <v>=C13+C9</v>
      </c>
      <c r="F14" s="13" t="n">
        <f aca="false">(H6-H10)/(2*H11-2*H7)</f>
        <v>34025974.025974</v>
      </c>
      <c r="G14" s="4" t="s">
        <v>19</v>
      </c>
      <c r="H14" s="14"/>
      <c r="I14" s="4" t="s">
        <v>25</v>
      </c>
    </row>
    <row r="15" customFormat="false" ht="22.05" hidden="false" customHeight="false" outlineLevel="0" collapsed="false">
      <c r="B15" s="4" t="s">
        <v>26</v>
      </c>
      <c r="C15" s="16" t="n">
        <f aca="false">C12-C14</f>
        <v>-130000000</v>
      </c>
      <c r="D15" s="5" t="str">
        <f aca="false">_xlfn.FORMULATEXT(C15)</f>
        <v>=C12-C14</v>
      </c>
      <c r="G15" s="4" t="s">
        <v>27</v>
      </c>
      <c r="H15" s="17" t="n">
        <f aca="false">H6+H7*H14</f>
        <v>525</v>
      </c>
      <c r="I15" s="4" t="s">
        <v>28</v>
      </c>
    </row>
    <row r="16" customFormat="false" ht="22.05" hidden="false" customHeight="false" outlineLevel="0" collapsed="false">
      <c r="B16" s="5" t="s">
        <v>29</v>
      </c>
      <c r="C16" s="18" t="str">
        <f aca="false">IF(C11=0,"—",C15/C11)</f>
        <v>—</v>
      </c>
      <c r="D16" s="5" t="str">
        <f aca="false">_xlfn.FORMULATEXT(C16)</f>
        <v>=IF(C11=0,"—",C15/C11)</v>
      </c>
      <c r="G16" s="5" t="s">
        <v>30</v>
      </c>
      <c r="H16" s="18" t="n">
        <f aca="false">H8+H9*H14</f>
        <v>0</v>
      </c>
      <c r="I16" s="5" t="str">
        <f aca="false">_xlfn.FORMULATEXT(H16)</f>
        <v>=H8+H9*H14</v>
      </c>
    </row>
    <row r="17" customFormat="false" ht="22.05" hidden="false" customHeight="false" outlineLevel="0" collapsed="false">
      <c r="G17" s="5" t="s">
        <v>31</v>
      </c>
      <c r="H17" s="18" t="n">
        <f aca="false">H10+2*H11*H14</f>
        <v>1</v>
      </c>
      <c r="I17" s="5" t="str">
        <f aca="false">_xlfn.FORMULATEXT(H17)</f>
        <v>=H10+2*H11*H14</v>
      </c>
    </row>
    <row r="18" customFormat="false" ht="22.05" hidden="false" customHeight="false" outlineLevel="0" collapsed="false">
      <c r="G18" s="5" t="s">
        <v>22</v>
      </c>
      <c r="H18" s="15" t="n">
        <f aca="false">H15*H14</f>
        <v>0</v>
      </c>
      <c r="I18" s="5" t="str">
        <f aca="false">_xlfn.FORMULATEXT(H18)</f>
        <v>=H15*H14</v>
      </c>
    </row>
    <row r="19" customFormat="false" ht="22.05" hidden="false" customHeight="false" outlineLevel="0" collapsed="false">
      <c r="G19" s="5" t="s">
        <v>32</v>
      </c>
      <c r="H19" s="15" t="n">
        <f aca="false">H10*H14+H11*H14^2</f>
        <v>0</v>
      </c>
      <c r="I19" s="5" t="str">
        <f aca="false">_xlfn.FORMULATEXT(H19)</f>
        <v>=H10*H14+H11*H14^2</v>
      </c>
    </row>
    <row r="20" customFormat="false" ht="22.05" hidden="false" customHeight="false" outlineLevel="0" collapsed="false">
      <c r="G20" s="5" t="s">
        <v>24</v>
      </c>
      <c r="H20" s="15" t="n">
        <f aca="false">H19+H12</f>
        <v>130000000</v>
      </c>
      <c r="I20" s="5" t="str">
        <f aca="false">_xlfn.FORMULATEXT(H20)</f>
        <v>=H19+H12</v>
      </c>
    </row>
    <row r="21" customFormat="false" ht="22.05" hidden="false" customHeight="false" outlineLevel="0" collapsed="false">
      <c r="G21" s="4" t="s">
        <v>26</v>
      </c>
      <c r="H21" s="16" t="n">
        <f aca="false">H18-H20</f>
        <v>-130000000</v>
      </c>
      <c r="I21" s="5" t="str">
        <f aca="false">_xlfn.FORMULATEXT(H21)</f>
        <v>=H18-H20</v>
      </c>
    </row>
    <row r="22" customFormat="false" ht="22.05" hidden="false" customHeight="false" outlineLevel="0" collapsed="false">
      <c r="G22" s="5" t="s">
        <v>29</v>
      </c>
      <c r="H22" s="18" t="str">
        <f aca="false">IF(H14=0,"—",H21/H14)</f>
        <v>—</v>
      </c>
      <c r="I22" s="5" t="str">
        <f aca="false">_xlfn.FORMULATEXT(H22)</f>
        <v>=IF(H14=0,"—",H21/H14)</v>
      </c>
    </row>
  </sheetData>
  <mergeCells count="3">
    <mergeCell ref="B1:I1"/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2026-07-31T22:46:38Z</dcterms:created>
  <dc:creator>openpyxl</dc:creator>
  <dc:description/>
  <dc:language>en-US</dc:language>
  <cp:lastModifiedBy/>
  <dcterms:modified xsi:type="dcterms:W3CDTF">2026-07-31T22:46:38Z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