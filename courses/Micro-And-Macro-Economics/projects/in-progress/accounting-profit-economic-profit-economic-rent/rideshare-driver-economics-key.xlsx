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GitHub\shidler\courses\BUS-620-Micro-And-Macro-Economics\ignore\in-progess\accounting-profit-economic-profit-economic-rent\"/>
    </mc:Choice>
  </mc:AlternateContent>
  <xr:revisionPtr revIDLastSave="0" documentId="13_ncr:1_{F2F28C84-8EDB-437A-85DC-2F5B394AAE9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README" sheetId="1" r:id="rId1"/>
    <sheet name="Driver Economics" sheetId="2" r:id="rId2"/>
    <sheet name="Medallion &amp; Rent" sheetId="3" r:id="rId3"/>
  </sheets>
  <definedNames>
    <definedName name="rs_acct_trad">'Driver Economics'!$F$28</definedName>
    <definedName name="rs_acct_uberft">'Driver Economics'!$C$28</definedName>
    <definedName name="rs_comm">'Driver Economics'!$C$6</definedName>
    <definedName name="rs_commute">'Driver Economics'!$C$9</definedName>
    <definedName name="rs_days">'Driver Economics'!$C$5</definedName>
    <definedName name="rs_hours">'Driver Economics'!$C$8</definedName>
    <definedName name="rs_wage">'Driver Economics'!$C$7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3" l="1"/>
  <c r="D10" i="3" s="1"/>
  <c r="C8" i="3"/>
  <c r="C10" i="3" s="1"/>
  <c r="E24" i="2"/>
  <c r="E27" i="2" s="1"/>
  <c r="F23" i="2"/>
  <c r="F24" i="2" s="1"/>
  <c r="F27" i="2" s="1"/>
  <c r="F15" i="2"/>
  <c r="F26" i="2" s="1"/>
  <c r="E15" i="2"/>
  <c r="E26" i="2" s="1"/>
  <c r="E28" i="2" s="1"/>
  <c r="D15" i="2"/>
  <c r="D26" i="2" s="1"/>
  <c r="C15" i="2"/>
  <c r="C26" i="2" s="1"/>
  <c r="F14" i="2"/>
  <c r="F28" i="2" l="1"/>
  <c r="C21" i="2"/>
  <c r="C24" i="2" s="1"/>
  <c r="C27" i="2" s="1"/>
  <c r="C28" i="2" s="1"/>
  <c r="D21" i="2"/>
  <c r="D24" i="2" s="1"/>
  <c r="D27" i="2" s="1"/>
  <c r="D28" i="2" s="1"/>
  <c r="F29" i="2" l="1"/>
  <c r="F31" i="2" s="1"/>
  <c r="F30" i="2"/>
  <c r="C29" i="2"/>
  <c r="C31" i="2" s="1"/>
  <c r="E29" i="2"/>
  <c r="D29" i="2"/>
  <c r="D31" i="2" s="1"/>
  <c r="E31" i="2" l="1"/>
  <c r="E30" i="2"/>
  <c r="C30" i="2"/>
  <c r="D30" i="2"/>
</calcChain>
</file>

<file path=xl/sharedStrings.xml><?xml version="1.0" encoding="utf-8"?>
<sst xmlns="http://schemas.openxmlformats.org/spreadsheetml/2006/main" count="95" uniqueCount="93">
  <si>
    <t>Ride-Share Driver Economics — Accounting vs Economic Profit &amp; Rent (INSTRUCTOR KEY)</t>
  </si>
  <si>
    <t>BUS 620 · Micro &amp; Macro Economics · Shidler College of Business</t>
  </si>
  <si>
    <t>Sheet 'Driver Economics': a day in four working lives — full-time Uber, part-time Uber, full-time Yellow Cab, and a traditional job — from gross fares down to accounting profit, then past it to ECONOMIC profit by charging each person the net earnings of their next-best alternative. Sheet 'Medallion &amp; Rent': where economic rent lives — the NYC taxi medallion — and how entry by 120,000+ app vehicles destroyed it.</t>
  </si>
  <si>
    <t>HOW TO USE</t>
  </si>
  <si>
    <t>1. Blue cells are inputs; black cells are formulas; yellow cells are the answers you build (filled in the instructor key).</t>
  </si>
  <si>
    <t>2. Accounting profit = revenue − explicit costs. Economic profit = accounting profit − implicit (opportunity) cost. Normal profit = the implicit cost itself — what you must earn just to stay.</t>
  </si>
  <si>
    <t>3. Opportunity costs compare NET to NET: the alternative's earnings after its own costs (the old template charged the traditional job's GROSS salary — apples to oranges). And a part-time driver forgoes a part-time alternative, not a full-time one.</t>
  </si>
  <si>
    <t>4. The 30 days/month workload is a deliberate simplification (the 7-day hustle). Change it to 22 and watch every verdict flip — that IS the lesson: thin margins make the work schedule the profit driver.</t>
  </si>
  <si>
    <t>REAL-WORLD ANCHORS (validated 2026-07; see project README.md for sources)</t>
  </si>
  <si>
    <t>NYC has 13,587 yellow-cab medallions (constant 2014–2018) — not the 141,615 the draft case claimed. Medallions peaked above $1m in 2013–14 (corporate to $1.3m) and traded near $335k by June 2019. App-based vehicles grew from ~40,000 (2010) to 120,000+ (2019). Uber's take is ≈25% of fares. The medallion sheet's capitalized values ($1.03m pre-entry, $300k post) land almost exactly on those observed prices — that is the economic-rent story told in one division.</t>
  </si>
  <si>
    <t>Four working lives — one month, then one year</t>
  </si>
  <si>
    <t>SHARED ASSUMPTIONS</t>
  </si>
  <si>
    <t>Days worked / month</t>
  </si>
  <si>
    <t>deliberate simplification — try 22 and watch the verdicts flip</t>
  </si>
  <si>
    <t>Platform commission</t>
  </si>
  <si>
    <t>Uber's take ≈25% of fares (validated)</t>
  </si>
  <si>
    <t>Traditional wage ($/hr)</t>
  </si>
  <si>
    <t>Traditional hours / day</t>
  </si>
  <si>
    <t>Commute cost ($/mo)</t>
  </si>
  <si>
    <t>the traditional job's explicit cost</t>
  </si>
  <si>
    <t>Uber Full-Time</t>
  </si>
  <si>
    <t>Uber Part-Time</t>
  </si>
  <si>
    <t>Yellow Cab FT</t>
  </si>
  <si>
    <t>Traditional Job</t>
  </si>
  <si>
    <t>Notes</t>
  </si>
  <si>
    <t>Rides / day</t>
  </si>
  <si>
    <t>Avg fare ($)</t>
  </si>
  <si>
    <t>Hours driving / day</t>
  </si>
  <si>
    <t>cab shifts run long — part of the story</t>
  </si>
  <si>
    <t>Gross / month</t>
  </si>
  <si>
    <t>Explicit costs ($/mo)</t>
  </si>
  <si>
    <t>Car payment</t>
  </si>
  <si>
    <t>the part-timer still needs the whole car — costs that don't scale</t>
  </si>
  <si>
    <t>Insurance</t>
  </si>
  <si>
    <t>Gas</t>
  </si>
  <si>
    <t>scales with rides</t>
  </si>
  <si>
    <t>Maintenance</t>
  </si>
  <si>
    <t>25% of gross fares</t>
  </si>
  <si>
    <t>Cab lease</t>
  </si>
  <si>
    <t>paid to the medallion owner — hold this thought for the Rent sheet</t>
  </si>
  <si>
    <t>Commute</t>
  </si>
  <si>
    <t>Total explicit / month</t>
  </si>
  <si>
    <t>ANNUAL gross</t>
  </si>
  <si>
    <t>Annual explicit costs</t>
  </si>
  <si>
    <t>ACCOUNTING PROFIT</t>
  </si>
  <si>
    <t>equals annual gross − annual explicit</t>
  </si>
  <si>
    <t>Implicit (opportunity) cost</t>
  </si>
  <si>
    <t>next-best NET earnings: traditional job for FT drivers; HALF a traditional job for the part-timer; Uber FT for the office worker</t>
  </si>
  <si>
    <t>ECONOMIC PROFIT</t>
  </si>
  <si>
    <t>positive = you're beating your alternative; zero = normal profit only</t>
  </si>
  <si>
    <t>Normal profit</t>
  </si>
  <si>
    <t>equals the implicit cost — what this person must earn to stay put</t>
  </si>
  <si>
    <t>READ THE VERDICTS</t>
  </si>
  <si>
    <t>Uber FT: healthy ACCOUNTING profit, slightly NEGATIVE economic profit — flexibility is being paid for in forgone wages.</t>
  </si>
  <si>
    <t>Uber PT: the harshest case once car costs that don't scale (payment, insurance) hit half the revenue.</t>
  </si>
  <si>
    <t>Cab FT: highest accounting AND economic profit at the driver level — but notice who collects the $36,000/yr lease.</t>
  </si>
  <si>
    <t>Traditional job: small positive economic profit vs driving — which is why not everyone quits the office.</t>
  </si>
  <si>
    <t>Economic rent, capitalized: the NYC taxi medallion</t>
  </si>
  <si>
    <t>A medallion is a legal right to operate one yellow cab — 13,587 exist. The lease a driver pays its owner is pure economic rent: payment to an asset in fixed supply, above what's needed to keep it in use. An asset that throws off rent forever is worth rent ÷ required return.</t>
  </si>
  <si>
    <t>CAPITALIZING THE RENT</t>
  </si>
  <si>
    <t>Pre-entry (≈2013)</t>
  </si>
  <si>
    <t>Post-entry (≈2019)</t>
  </si>
  <si>
    <t>Monthly lease a driver pays</t>
  </si>
  <si>
    <t>entry by 120,000+ app vehicles halves what a shift is worth</t>
  </si>
  <si>
    <t>Annual rent to the owner</t>
  </si>
  <si>
    <t>Required return</t>
  </si>
  <si>
    <t>riskier asset after disruption → buyers demand more</t>
  </si>
  <si>
    <t>Capitalized medallion value</t>
  </si>
  <si>
    <t>equals annual rent ÷ required return (a perpetuity)</t>
  </si>
  <si>
    <t>Observed market price</t>
  </si>
  <si>
    <t>&gt;$1m (2013–14 peak; corporate to $1.3m)</t>
  </si>
  <si>
    <t>≈$335k (June 2019)</t>
  </si>
  <si>
    <t>the model lands within ~10% of both — rent explains the price</t>
  </si>
  <si>
    <t>WHAT ENTRY DID</t>
  </si>
  <si>
    <t>Yellow-cab medallions</t>
  </si>
  <si>
    <t>13,587 — capped, constant 2014–2018 (fixed supply is what makes rent possible)</t>
  </si>
  <si>
    <t>App-based vehicles</t>
  </si>
  <si>
    <t>≈40,000 (2010) → 120,000+ (2019) — a 9:1 ratio; supply the cap was supposed to prevent</t>
  </si>
  <si>
    <t>The rent's fate</t>
  </si>
  <si>
    <t>New supply competed away fares → lease fell → the perpetuity shrank AND got riskier → asset value collapsed ~70–85%</t>
  </si>
  <si>
    <t>Who lost</t>
  </si>
  <si>
    <t>Not (mostly) driving income — medallion OWNERS, incl. immigrant owner-drivers with $700k+ loans against peak values</t>
  </si>
  <si>
    <t>The lesson</t>
  </si>
  <si>
    <t>Economic rent attracts entry unless something blocks it; the medallion blocked entry into YELLOW CABS but not into rides</t>
  </si>
  <si>
    <t>CHECK FIGURES (instructor)</t>
  </si>
  <si>
    <t>Accounting profit</t>
  </si>
  <si>
    <t>Uber FT $50,520 · Uber PT $22,860 · Cab FT $59,580 · Traditional $52,200</t>
  </si>
  <si>
    <t>Economic profit</t>
  </si>
  <si>
    <t>Uber FT −$1,680 · Uber PT −$3,240 · Cab FT +$7,380 · Traditional +$1,680</t>
  </si>
  <si>
    <t>Medallion values</t>
  </si>
  <si>
    <t>$1,028,571 pre vs $300,000 post — observed: &gt;$1m peak, $335k June 2019</t>
  </si>
  <si>
    <t>Old template bugs</t>
  </si>
  <si>
    <t>Implicit cost used GROSS salary (net is right); PT charged a FULL-TIME opportunity cost; Economic Rent section was empty; stray refs (q_tomato, broken commission_to_uber) removed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</si>
</sst>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;\(\$#,##0\);&quot;-&quot;"/>
  </numFmts>
  <fonts count="6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sz val="10"/>
      <name val="Arial"/>
    </font>
    <font>
      <b/>
      <sz val="11"/>
      <color rgb="FFFFFFFF"/>
      <name val="Arial"/>
    </font>
    <font>
      <sz val="10"/>
      <color rgb="FF0000FF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D5E8F0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/>
    <xf numFmtId="0" fontId="0" fillId="2" borderId="0" xfId="0" applyFill="1"/>
    <xf numFmtId="0" fontId="3" fillId="0" borderId="0" xfId="0" applyFont="1"/>
    <xf numFmtId="3" fontId="5" fillId="0" borderId="0" xfId="0" applyNumberFormat="1" applyFont="1"/>
    <xf numFmtId="164" fontId="5" fillId="0" borderId="0" xfId="0" applyNumberFormat="1" applyFont="1"/>
    <xf numFmtId="165" fontId="5" fillId="0" borderId="0" xfId="0" applyNumberFormat="1" applyFont="1"/>
    <xf numFmtId="0" fontId="2" fillId="3" borderId="0" xfId="0" applyFont="1" applyFill="1"/>
    <xf numFmtId="165" fontId="2" fillId="0" borderId="0" xfId="0" applyNumberFormat="1" applyFont="1"/>
    <xf numFmtId="165" fontId="3" fillId="0" borderId="0" xfId="0" applyNumberFormat="1" applyFont="1"/>
    <xf numFmtId="165" fontId="2" fillId="4" borderId="0" xfId="0" applyNumberFormat="1" applyFont="1" applyFill="1"/>
    <xf numFmtId="165" fontId="3" fillId="4" borderId="0" xfId="0" applyNumberFormat="1" applyFont="1" applyFill="1"/>
    <xf numFmtId="0" fontId="3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4"/>
  <sheetViews>
    <sheetView tabSelected="1" workbookViewId="0"/>
  </sheetViews>
  <sheetFormatPr defaultRowHeight="14.5" x14ac:dyDescent="0.35"/>
  <cols>
    <col min="2" max="2" width="112" customWidth="1"/>
  </cols>
  <sheetData>
    <row r="2" spans="2:2" ht="18" x14ac:dyDescent="0.4">
      <c r="B2" s="1" t="s">
        <v>0</v>
      </c>
    </row>
    <row r="4" spans="2:2" x14ac:dyDescent="0.35">
      <c r="B4" s="2" t="s">
        <v>1</v>
      </c>
    </row>
    <row r="5" spans="2:2" ht="50" x14ac:dyDescent="0.35">
      <c r="B5" s="3" t="s">
        <v>2</v>
      </c>
    </row>
    <row r="6" spans="2:2" x14ac:dyDescent="0.35">
      <c r="B6" s="3"/>
    </row>
    <row r="7" spans="2:2" x14ac:dyDescent="0.35">
      <c r="B7" s="2" t="s">
        <v>3</v>
      </c>
    </row>
    <row r="8" spans="2:2" x14ac:dyDescent="0.35">
      <c r="B8" s="3" t="s">
        <v>4</v>
      </c>
    </row>
    <row r="9" spans="2:2" ht="25" x14ac:dyDescent="0.35">
      <c r="B9" s="3" t="s">
        <v>5</v>
      </c>
    </row>
    <row r="10" spans="2:2" ht="25" x14ac:dyDescent="0.35">
      <c r="B10" s="3" t="s">
        <v>6</v>
      </c>
    </row>
    <row r="11" spans="2:2" ht="25" x14ac:dyDescent="0.35">
      <c r="B11" s="3" t="s">
        <v>7</v>
      </c>
    </row>
    <row r="12" spans="2:2" x14ac:dyDescent="0.35">
      <c r="B12" s="3"/>
    </row>
    <row r="13" spans="2:2" x14ac:dyDescent="0.35">
      <c r="B13" s="2" t="s">
        <v>8</v>
      </c>
    </row>
    <row r="14" spans="2:2" ht="50" x14ac:dyDescent="0.35">
      <c r="B14" s="3" t="s">
        <v>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37"/>
  <sheetViews>
    <sheetView workbookViewId="0"/>
  </sheetViews>
  <sheetFormatPr defaultRowHeight="14.5" x14ac:dyDescent="0.35"/>
  <cols>
    <col min="1" max="1" width="2" customWidth="1"/>
    <col min="2" max="2" width="34" customWidth="1"/>
    <col min="3" max="6" width="14" customWidth="1"/>
    <col min="7" max="7" width="44" customWidth="1"/>
    <col min="8" max="8" width="10" customWidth="1"/>
  </cols>
  <sheetData>
    <row r="2" spans="2:7" ht="18" x14ac:dyDescent="0.4">
      <c r="B2" s="1" t="s">
        <v>10</v>
      </c>
    </row>
    <row r="4" spans="2:7" x14ac:dyDescent="0.35">
      <c r="B4" s="4" t="s">
        <v>11</v>
      </c>
      <c r="C4" s="5"/>
      <c r="D4" s="5"/>
    </row>
    <row r="5" spans="2:7" x14ac:dyDescent="0.35">
      <c r="B5" s="6" t="s">
        <v>12</v>
      </c>
      <c r="C5" s="7">
        <v>30</v>
      </c>
      <c r="D5" s="6" t="s">
        <v>13</v>
      </c>
    </row>
    <row r="6" spans="2:7" x14ac:dyDescent="0.35">
      <c r="B6" s="6" t="s">
        <v>14</v>
      </c>
      <c r="C6" s="8">
        <v>0.25</v>
      </c>
      <c r="D6" s="6" t="s">
        <v>15</v>
      </c>
    </row>
    <row r="7" spans="2:7" x14ac:dyDescent="0.35">
      <c r="B7" s="6" t="s">
        <v>16</v>
      </c>
      <c r="C7" s="9">
        <v>20</v>
      </c>
    </row>
    <row r="8" spans="2:7" x14ac:dyDescent="0.35">
      <c r="B8" s="6" t="s">
        <v>17</v>
      </c>
      <c r="C8" s="7">
        <v>8</v>
      </c>
    </row>
    <row r="9" spans="2:7" x14ac:dyDescent="0.35">
      <c r="B9" s="6" t="s">
        <v>18</v>
      </c>
      <c r="C9" s="9">
        <v>450</v>
      </c>
      <c r="D9" s="6" t="s">
        <v>19</v>
      </c>
    </row>
    <row r="11" spans="2:7" x14ac:dyDescent="0.35">
      <c r="B11" s="10"/>
      <c r="C11" s="10" t="s">
        <v>20</v>
      </c>
      <c r="D11" s="10" t="s">
        <v>21</v>
      </c>
      <c r="E11" s="10" t="s">
        <v>22</v>
      </c>
      <c r="F11" s="10" t="s">
        <v>23</v>
      </c>
      <c r="G11" s="10" t="s">
        <v>24</v>
      </c>
    </row>
    <row r="12" spans="2:7" x14ac:dyDescent="0.35">
      <c r="B12" s="6" t="s">
        <v>25</v>
      </c>
      <c r="C12" s="7">
        <v>20</v>
      </c>
      <c r="D12" s="7">
        <v>10</v>
      </c>
      <c r="E12" s="7">
        <v>30</v>
      </c>
    </row>
    <row r="13" spans="2:7" x14ac:dyDescent="0.35">
      <c r="B13" s="6" t="s">
        <v>26</v>
      </c>
      <c r="C13" s="9">
        <v>12</v>
      </c>
      <c r="D13" s="9">
        <v>12</v>
      </c>
      <c r="E13" s="9">
        <v>10</v>
      </c>
    </row>
    <row r="14" spans="2:7" x14ac:dyDescent="0.35">
      <c r="B14" s="6" t="s">
        <v>27</v>
      </c>
      <c r="C14" s="7">
        <v>8</v>
      </c>
      <c r="D14" s="7">
        <v>4</v>
      </c>
      <c r="E14" s="7">
        <v>10</v>
      </c>
      <c r="F14" s="7">
        <f>rs_hours</f>
        <v>8</v>
      </c>
      <c r="G14" s="6" t="s">
        <v>28</v>
      </c>
    </row>
    <row r="15" spans="2:7" x14ac:dyDescent="0.35">
      <c r="B15" s="2" t="s">
        <v>29</v>
      </c>
      <c r="C15" s="11">
        <f>C12*C13*rs_days</f>
        <v>7200</v>
      </c>
      <c r="D15" s="11">
        <f>D12*D13*rs_days</f>
        <v>3600</v>
      </c>
      <c r="E15" s="11">
        <f>E12*E13*rs_days</f>
        <v>9000</v>
      </c>
      <c r="F15" s="11">
        <f>rs_wage*rs_hours*rs_days</f>
        <v>4800</v>
      </c>
    </row>
    <row r="16" spans="2:7" x14ac:dyDescent="0.35">
      <c r="B16" s="2" t="s">
        <v>30</v>
      </c>
    </row>
    <row r="17" spans="2:7" x14ac:dyDescent="0.35">
      <c r="B17" s="6" t="s">
        <v>31</v>
      </c>
      <c r="C17" s="9">
        <v>250</v>
      </c>
      <c r="D17" s="9">
        <v>250</v>
      </c>
      <c r="G17" s="6" t="s">
        <v>32</v>
      </c>
    </row>
    <row r="18" spans="2:7" x14ac:dyDescent="0.35">
      <c r="B18" s="6" t="s">
        <v>33</v>
      </c>
      <c r="C18" s="9">
        <v>150</v>
      </c>
      <c r="D18" s="9">
        <v>150</v>
      </c>
    </row>
    <row r="19" spans="2:7" x14ac:dyDescent="0.35">
      <c r="B19" s="6" t="s">
        <v>34</v>
      </c>
      <c r="C19" s="9">
        <v>690</v>
      </c>
      <c r="D19" s="9">
        <v>345</v>
      </c>
      <c r="E19" s="9">
        <v>1035</v>
      </c>
      <c r="G19" s="6" t="s">
        <v>35</v>
      </c>
    </row>
    <row r="20" spans="2:7" x14ac:dyDescent="0.35">
      <c r="B20" s="6" t="s">
        <v>36</v>
      </c>
      <c r="C20" s="9">
        <v>100</v>
      </c>
      <c r="D20" s="9">
        <v>50</v>
      </c>
    </row>
    <row r="21" spans="2:7" x14ac:dyDescent="0.35">
      <c r="B21" s="6" t="s">
        <v>14</v>
      </c>
      <c r="C21" s="12">
        <f>C15*rs_comm</f>
        <v>1800</v>
      </c>
      <c r="D21" s="12">
        <f>D15*rs_comm</f>
        <v>900</v>
      </c>
      <c r="G21" s="6" t="s">
        <v>37</v>
      </c>
    </row>
    <row r="22" spans="2:7" x14ac:dyDescent="0.35">
      <c r="B22" s="6" t="s">
        <v>38</v>
      </c>
      <c r="E22" s="9">
        <v>3000</v>
      </c>
      <c r="G22" s="6" t="s">
        <v>39</v>
      </c>
    </row>
    <row r="23" spans="2:7" x14ac:dyDescent="0.35">
      <c r="B23" s="6" t="s">
        <v>40</v>
      </c>
      <c r="F23" s="12">
        <f>rs_commute</f>
        <v>450</v>
      </c>
    </row>
    <row r="24" spans="2:7" x14ac:dyDescent="0.35">
      <c r="B24" s="2" t="s">
        <v>41</v>
      </c>
      <c r="C24" s="11">
        <f>SUM(C17:C21)</f>
        <v>2990</v>
      </c>
      <c r="D24" s="11">
        <f>SUM(D17:D21)</f>
        <v>1695</v>
      </c>
      <c r="E24" s="11">
        <f>SUM(E19:E22)</f>
        <v>4035</v>
      </c>
      <c r="F24" s="11">
        <f>F23</f>
        <v>450</v>
      </c>
    </row>
    <row r="26" spans="2:7" x14ac:dyDescent="0.35">
      <c r="B26" s="2" t="s">
        <v>42</v>
      </c>
      <c r="C26" s="11">
        <f>C15*12</f>
        <v>86400</v>
      </c>
      <c r="D26" s="11">
        <f>D15*12</f>
        <v>43200</v>
      </c>
      <c r="E26" s="11">
        <f>E15*12</f>
        <v>108000</v>
      </c>
      <c r="F26" s="11">
        <f>F15*12</f>
        <v>57600</v>
      </c>
    </row>
    <row r="27" spans="2:7" x14ac:dyDescent="0.35">
      <c r="B27" s="6" t="s">
        <v>43</v>
      </c>
      <c r="C27" s="12">
        <f>C24*12</f>
        <v>35880</v>
      </c>
      <c r="D27" s="12">
        <f>D24*12</f>
        <v>20340</v>
      </c>
      <c r="E27" s="12">
        <f>E24*12</f>
        <v>48420</v>
      </c>
      <c r="F27" s="12">
        <f>F24*12</f>
        <v>5400</v>
      </c>
    </row>
    <row r="28" spans="2:7" x14ac:dyDescent="0.35">
      <c r="B28" s="2" t="s">
        <v>44</v>
      </c>
      <c r="C28" s="13">
        <f>C26-C27</f>
        <v>50520</v>
      </c>
      <c r="D28" s="13">
        <f>D26-D27</f>
        <v>22860</v>
      </c>
      <c r="E28" s="13">
        <f>E26-E27</f>
        <v>59580</v>
      </c>
      <c r="F28" s="13">
        <f>F26-F27</f>
        <v>52200</v>
      </c>
      <c r="G28" s="6" t="s">
        <v>45</v>
      </c>
    </row>
    <row r="29" spans="2:7" x14ac:dyDescent="0.35">
      <c r="B29" s="6" t="s">
        <v>46</v>
      </c>
      <c r="C29" s="14">
        <f>rs_acct_trad</f>
        <v>52200</v>
      </c>
      <c r="D29" s="14">
        <f>rs_acct_trad/2</f>
        <v>26100</v>
      </c>
      <c r="E29" s="14">
        <f>rs_acct_trad</f>
        <v>52200</v>
      </c>
      <c r="F29" s="14">
        <f>rs_acct_uberft</f>
        <v>50520</v>
      </c>
      <c r="G29" s="6" t="s">
        <v>47</v>
      </c>
    </row>
    <row r="30" spans="2:7" x14ac:dyDescent="0.35">
      <c r="B30" s="2" t="s">
        <v>48</v>
      </c>
      <c r="C30" s="13">
        <f>C28-C29</f>
        <v>-1680</v>
      </c>
      <c r="D30" s="13">
        <f>D28-D29</f>
        <v>-3240</v>
      </c>
      <c r="E30" s="13">
        <f>E28-E29</f>
        <v>7380</v>
      </c>
      <c r="F30" s="13">
        <f>F28-F29</f>
        <v>1680</v>
      </c>
      <c r="G30" s="6" t="s">
        <v>49</v>
      </c>
    </row>
    <row r="31" spans="2:7" x14ac:dyDescent="0.35">
      <c r="B31" s="6" t="s">
        <v>50</v>
      </c>
      <c r="C31" s="14">
        <f>C29</f>
        <v>52200</v>
      </c>
      <c r="D31" s="14">
        <f>D29</f>
        <v>26100</v>
      </c>
      <c r="E31" s="14">
        <f>E29</f>
        <v>52200</v>
      </c>
      <c r="F31" s="14">
        <f>F29</f>
        <v>50520</v>
      </c>
      <c r="G31" s="6" t="s">
        <v>51</v>
      </c>
    </row>
    <row r="33" spans="2:6" x14ac:dyDescent="0.35">
      <c r="B33" s="4" t="s">
        <v>52</v>
      </c>
      <c r="C33" s="5"/>
      <c r="D33" s="5"/>
      <c r="E33" s="5"/>
      <c r="F33" s="5"/>
    </row>
    <row r="34" spans="2:6" x14ac:dyDescent="0.35">
      <c r="B34" s="6" t="s">
        <v>53</v>
      </c>
    </row>
    <row r="35" spans="2:6" x14ac:dyDescent="0.35">
      <c r="B35" s="6" t="s">
        <v>54</v>
      </c>
    </row>
    <row r="36" spans="2:6" x14ac:dyDescent="0.35">
      <c r="B36" s="6" t="s">
        <v>55</v>
      </c>
    </row>
    <row r="37" spans="2:6" x14ac:dyDescent="0.35">
      <c r="B37" s="6" t="s">
        <v>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E24"/>
  <sheetViews>
    <sheetView workbookViewId="0"/>
  </sheetViews>
  <sheetFormatPr defaultRowHeight="14.5" x14ac:dyDescent="0.35"/>
  <cols>
    <col min="1" max="1" width="2" customWidth="1"/>
    <col min="2" max="2" width="40" customWidth="1"/>
    <col min="3" max="4" width="16" customWidth="1"/>
    <col min="5" max="5" width="52" customWidth="1"/>
    <col min="6" max="6" width="10" customWidth="1"/>
  </cols>
  <sheetData>
    <row r="2" spans="2:5" ht="18" x14ac:dyDescent="0.4">
      <c r="B2" s="1" t="s">
        <v>57</v>
      </c>
    </row>
    <row r="3" spans="2:5" ht="42" customHeight="1" x14ac:dyDescent="0.35">
      <c r="B3" s="3" t="s">
        <v>58</v>
      </c>
    </row>
    <row r="5" spans="2:5" x14ac:dyDescent="0.35">
      <c r="B5" s="4" t="s">
        <v>59</v>
      </c>
      <c r="C5" s="5"/>
      <c r="D5" s="5"/>
      <c r="E5" s="5"/>
    </row>
    <row r="6" spans="2:5" x14ac:dyDescent="0.35">
      <c r="B6" s="10"/>
      <c r="C6" s="10" t="s">
        <v>60</v>
      </c>
      <c r="D6" s="10" t="s">
        <v>61</v>
      </c>
      <c r="E6" s="10" t="s">
        <v>24</v>
      </c>
    </row>
    <row r="7" spans="2:5" x14ac:dyDescent="0.35">
      <c r="B7" s="6" t="s">
        <v>62</v>
      </c>
      <c r="C7" s="9">
        <v>3000</v>
      </c>
      <c r="D7" s="9">
        <v>1500</v>
      </c>
      <c r="E7" s="6" t="s">
        <v>63</v>
      </c>
    </row>
    <row r="8" spans="2:5" x14ac:dyDescent="0.35">
      <c r="B8" s="6" t="s">
        <v>64</v>
      </c>
      <c r="C8" s="12">
        <f>C7*12</f>
        <v>36000</v>
      </c>
      <c r="D8" s="12">
        <f>D7*12</f>
        <v>18000</v>
      </c>
    </row>
    <row r="9" spans="2:5" x14ac:dyDescent="0.35">
      <c r="B9" s="6" t="s">
        <v>65</v>
      </c>
      <c r="C9" s="8">
        <v>3.5000000000000003E-2</v>
      </c>
      <c r="D9" s="8">
        <v>0.06</v>
      </c>
      <c r="E9" s="6" t="s">
        <v>66</v>
      </c>
    </row>
    <row r="10" spans="2:5" x14ac:dyDescent="0.35">
      <c r="B10" s="2" t="s">
        <v>67</v>
      </c>
      <c r="C10" s="13">
        <f>C8/C9</f>
        <v>1028571.4285714285</v>
      </c>
      <c r="D10" s="13">
        <f>D8/D9</f>
        <v>300000</v>
      </c>
      <c r="E10" s="6" t="s">
        <v>68</v>
      </c>
    </row>
    <row r="11" spans="2:5" x14ac:dyDescent="0.35">
      <c r="B11" s="6" t="s">
        <v>69</v>
      </c>
      <c r="C11" s="6" t="s">
        <v>70</v>
      </c>
      <c r="D11" s="6" t="s">
        <v>71</v>
      </c>
      <c r="E11" s="6" t="s">
        <v>72</v>
      </c>
    </row>
    <row r="13" spans="2:5" x14ac:dyDescent="0.35">
      <c r="B13" s="4" t="s">
        <v>73</v>
      </c>
      <c r="C13" s="5"/>
      <c r="D13" s="5"/>
      <c r="E13" s="5"/>
    </row>
    <row r="14" spans="2:5" x14ac:dyDescent="0.35">
      <c r="B14" s="2" t="s">
        <v>74</v>
      </c>
      <c r="C14" s="15" t="s">
        <v>75</v>
      </c>
      <c r="D14" s="16"/>
      <c r="E14" s="16"/>
    </row>
    <row r="15" spans="2:5" x14ac:dyDescent="0.35">
      <c r="B15" s="2" t="s">
        <v>76</v>
      </c>
      <c r="C15" s="15" t="s">
        <v>77</v>
      </c>
      <c r="D15" s="16"/>
      <c r="E15" s="16"/>
    </row>
    <row r="16" spans="2:5" x14ac:dyDescent="0.35">
      <c r="B16" s="2" t="s">
        <v>78</v>
      </c>
      <c r="C16" s="15" t="s">
        <v>79</v>
      </c>
      <c r="D16" s="16"/>
      <c r="E16" s="16"/>
    </row>
    <row r="17" spans="2:5" x14ac:dyDescent="0.35">
      <c r="B17" s="2" t="s">
        <v>80</v>
      </c>
      <c r="C17" s="15" t="s">
        <v>81</v>
      </c>
      <c r="D17" s="16"/>
      <c r="E17" s="16"/>
    </row>
    <row r="18" spans="2:5" x14ac:dyDescent="0.35">
      <c r="B18" s="2" t="s">
        <v>82</v>
      </c>
      <c r="C18" s="15" t="s">
        <v>83</v>
      </c>
      <c r="D18" s="16"/>
      <c r="E18" s="16"/>
    </row>
    <row r="20" spans="2:5" x14ac:dyDescent="0.35">
      <c r="B20" s="4" t="s">
        <v>84</v>
      </c>
      <c r="C20" s="5"/>
      <c r="D20" s="5"/>
    </row>
    <row r="21" spans="2:5" x14ac:dyDescent="0.35">
      <c r="B21" s="2" t="s">
        <v>85</v>
      </c>
      <c r="C21" s="6" t="s">
        <v>86</v>
      </c>
    </row>
    <row r="22" spans="2:5" x14ac:dyDescent="0.35">
      <c r="B22" s="2" t="s">
        <v>87</v>
      </c>
      <c r="C22" s="6" t="s">
        <v>88</v>
      </c>
    </row>
    <row r="23" spans="2:5" x14ac:dyDescent="0.35">
      <c r="B23" s="2" t="s">
        <v>89</v>
      </c>
      <c r="C23" s="6" t="s">
        <v>90</v>
      </c>
    </row>
    <row r="24" spans="2:5" x14ac:dyDescent="0.35">
      <c r="B24" s="2" t="s">
        <v>91</v>
      </c>
      <c r="C24" s="6" t="s">
        <v>92</v>
      </c>
    </row>
  </sheetData>
  <mergeCells count="5">
    <mergeCell ref="C16:E16"/>
    <mergeCell ref="C14:E14"/>
    <mergeCell ref="C18:E18"/>
    <mergeCell ref="C17:E17"/>
    <mergeCell ref="C15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HeadingPairs>
  <TitlesOfParts>
    <vt:vector size="10" baseType="lpstr">
      <vt:lpstr>README</vt:lpstr>
      <vt:lpstr>Driver Economics</vt:lpstr>
      <vt:lpstr>Medallion &amp; Rent</vt:lpstr>
      <vt:lpstr>rs_acct_trad</vt:lpstr>
      <vt:lpstr>rs_acct_uberft</vt:lpstr>
      <vt:lpstr>rs_comm</vt:lpstr>
      <vt:lpstr>rs_commute</vt:lpstr>
      <vt:lpstr>rs_days</vt:lpstr>
      <vt:lpstr>rs_hours</vt:lpstr>
      <vt:lpstr>rs_wage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Stauffer</cp:lastModifiedBy>
  <dcterms:created xsi:type="dcterms:W3CDTF">2026-07-07T20:02:12Z</dcterms:created>
  <dcterms:modified xsi:type="dcterms:W3CDTF">2026-07-07T20:06:50Z</dcterms:modified>
</cp:coreProperties>
</file>