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river Economics" sheetId="2" state="visible" r:id="rId4"/>
    <sheet name="Medallion &amp; Rent" sheetId="3" state="visible" r:id="rId5"/>
  </sheets>
  <definedNames>
    <definedName function="false" hidden="false" name="rs_acct_trad" vbProcedure="false">'Driver Economics'!$F$28</definedName>
    <definedName function="false" hidden="false" name="rs_acct_uberft" vbProcedure="false">'Driver Economics'!$C$28</definedName>
    <definedName function="false" hidden="false" name="rs_comm" vbProcedure="false">'Driver Economics'!$C$6</definedName>
    <definedName function="false" hidden="false" name="rs_commute" vbProcedure="false">'Driver Economics'!$C$9</definedName>
    <definedName function="false" hidden="false" name="rs_days" vbProcedure="false">'Driver Economics'!$C$5</definedName>
    <definedName function="false" hidden="false" name="rs_hours" vbProcedure="false">'Driver Economics'!$C$8</definedName>
    <definedName function="false" hidden="false" name="rs_wage" vbProcedure="false">'Driver Economics'!$C$7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<sst xmlns="http://schemas.openxmlformats.org/spreadsheetml/2006/main" count="99" uniqueCount="97">
  <si>
    <t xml:space="preserve">Ride-Share Driver Economics — Accounting vs Economic Profit &amp; Rent (INSTRUCTOR KEY)</t>
  </si>
  <si>
    <t xml:space="preserve">BUS 620 · Micro &amp; Macro Economics · Shidler College of Business</t>
  </si>
  <si>
    <t xml:space="preserve">Sheet 'Driver Economics': a day in four working lives — full-time Uber, part-time Uber, full-time Yellow Cab, and a traditional job — from gross fares down to accounting profit, then past it to ECONOMIC profit by charging each person the net earnings of their next-best alternative. Sheet 'Medallion &amp; Rent': where economic rent lives — the NYC taxi medallion — and how entry by 120,000+ app vehicles destroyed it.</t>
  </si>
  <si>
    <t xml:space="preserve">HOW TO USE</t>
  </si>
  <si>
    <t xml:space="preserve">1. Blue cells are inputs; black cells are formulas; yellow cells are the answers you build (filled in the instructor key).</t>
  </si>
  <si>
    <t xml:space="preserve">2. Accounting profit = revenue − explicit costs. Economic profit = accounting profit − implicit (opportunity) cost. Normal profit = the implicit cost itself — what you must earn just to stay.</t>
  </si>
  <si>
    <t xml:space="preserve">3. Opportunity costs compare NET to NET: the alternative's earnings after its own costs (the old template charged the traditional job's GROSS salary — apples to oranges). And a part-time driver forgoes a part-time alternative, not a full-time one.</t>
  </si>
  <si>
    <t xml:space="preserve">4. The 30 days/month workload is a deliberate simplification (the 7-day hustle). Change it to 22 and watch every verdict flip — that IS the lesson: thin margins make the work schedule the profit driver.</t>
  </si>
  <si>
    <t xml:space="preserve">REAL-WORLD ANCHORS (validated 2026-07; see project README.md for sources)</t>
  </si>
  <si>
    <t xml:space="preserve">NYC has 13,587 yellow-cab medallions (constant 2014–2018) — not the 141,615 the draft case claimed. Medallions peaked above $1m in 2013–14 (corporate to $1.3m) and traded near $335k by June 2019. App-based vehicles grew from ~40,000 (2010) to 120,000+ (2019). Uber's take is ≈25% of fares. The medallion sheet's capitalized values ($1.03m pre-entry, $300k post) land almost exactly on those observed prices — that is the economic-rent story told in one division.</t>
  </si>
  <si>
    <t xml:space="preserve">COLOR KEY</t>
  </si>
  <si>
    <t xml:space="preserve">Blue text = input you can change</t>
  </si>
  <si>
    <t xml:space="preserve">Black text = formula (do not overtype)</t>
  </si>
  <si>
    <t xml:space="preserve">Yellow fill = answer cells you complete (filled in the instructor key)</t>
  </si>
  <si>
    <t xml:space="preserve">Four working lives — one month, then one year</t>
  </si>
  <si>
    <t xml:space="preserve">SHARED ASSUMPTIONS</t>
  </si>
  <si>
    <t xml:space="preserve">Days worked / month</t>
  </si>
  <si>
    <t xml:space="preserve">deliberate simplification — try 22 and watch the verdicts flip</t>
  </si>
  <si>
    <t xml:space="preserve">Platform commission</t>
  </si>
  <si>
    <t xml:space="preserve">Uber's take ≈25% of fares (validated)</t>
  </si>
  <si>
    <t xml:space="preserve">Traditional wage ($/hr)</t>
  </si>
  <si>
    <t xml:space="preserve">Traditional hours / day</t>
  </si>
  <si>
    <t xml:space="preserve">Commute cost ($/mo)</t>
  </si>
  <si>
    <t xml:space="preserve">the traditional job's explicit cost</t>
  </si>
  <si>
    <t xml:space="preserve">Uber Full-Time</t>
  </si>
  <si>
    <t xml:space="preserve">Uber Part-Time</t>
  </si>
  <si>
    <t xml:space="preserve">Yellow Cab FT</t>
  </si>
  <si>
    <t xml:space="preserve">Traditional Job</t>
  </si>
  <si>
    <t xml:space="preserve">Notes</t>
  </si>
  <si>
    <t xml:space="preserve">Rides / day</t>
  </si>
  <si>
    <t xml:space="preserve">Avg fare ($)</t>
  </si>
  <si>
    <t xml:space="preserve">Hours driving / day</t>
  </si>
  <si>
    <t xml:space="preserve">cab shifts run long — part of the story</t>
  </si>
  <si>
    <t xml:space="preserve">Gross / month</t>
  </si>
  <si>
    <t xml:space="preserve">Explicit costs ($/mo)</t>
  </si>
  <si>
    <t xml:space="preserve">Car payment</t>
  </si>
  <si>
    <t xml:space="preserve">the part-timer still needs the whole car — costs that don't scale</t>
  </si>
  <si>
    <t xml:space="preserve">Insurance</t>
  </si>
  <si>
    <t xml:space="preserve">Gas</t>
  </si>
  <si>
    <t xml:space="preserve">scales with rides</t>
  </si>
  <si>
    <t xml:space="preserve">Maintenance</t>
  </si>
  <si>
    <t xml:space="preserve">25% of gross fares</t>
  </si>
  <si>
    <t xml:space="preserve">Cab lease</t>
  </si>
  <si>
    <t xml:space="preserve">paid to the medallion owner — hold this thought for the Rent sheet</t>
  </si>
  <si>
    <t xml:space="preserve">Commute</t>
  </si>
  <si>
    <t xml:space="preserve">Total explicit / month</t>
  </si>
  <si>
    <t xml:space="preserve">ANNUAL gross</t>
  </si>
  <si>
    <t xml:space="preserve">Annual explicit costs</t>
  </si>
  <si>
    <t xml:space="preserve">ACCOUNTING PROFIT</t>
  </si>
  <si>
    <t xml:space="preserve">equals annual gross − annual explicit</t>
  </si>
  <si>
    <t xml:space="preserve">Implicit (opportunity) cost</t>
  </si>
  <si>
    <t xml:space="preserve">next-best NET earnings: traditional job for FT drivers; HALF a traditional job for the part-timer; Uber FT for the office worker</t>
  </si>
  <si>
    <t xml:space="preserve">ECONOMIC PROFIT</t>
  </si>
  <si>
    <t xml:space="preserve">positive = you're beating your alternative; zero = normal profit only</t>
  </si>
  <si>
    <t xml:space="preserve">Normal profit</t>
  </si>
  <si>
    <t xml:space="preserve">equals the implicit cost — what this person must earn to stay put</t>
  </si>
  <si>
    <t xml:space="preserve">READ THE VERDICTS</t>
  </si>
  <si>
    <t xml:space="preserve">Uber FT: healthy ACCOUNTING profit, slightly NEGATIVE economic profit — flexibility is being paid for in forgone wages.</t>
  </si>
  <si>
    <t xml:space="preserve">Uber PT: the harshest case once car costs that don't scale (payment, insurance) hit half the revenue.</t>
  </si>
  <si>
    <t xml:space="preserve">Cab FT: highest accounting AND economic profit at the driver level — but notice who collects the $36,000/yr lease.</t>
  </si>
  <si>
    <t xml:space="preserve">Traditional job: small positive economic profit vs driving — which is why not everyone quits the office.</t>
  </si>
  <si>
    <t xml:space="preserve">Economic rent, capitalized: the NYC taxi medallion</t>
  </si>
  <si>
    <t xml:space="preserve">A medallion is a legal right to operate one yellow cab — 13,587 exist. The lease a driver pays its owner is pure economic rent: payment to an asset in fixed supply, above what's needed to keep it in use. An asset that throws off rent forever is worth rent ÷ required return.</t>
  </si>
  <si>
    <t xml:space="preserve">CAPITALIZING THE RENT</t>
  </si>
  <si>
    <t xml:space="preserve">Pre-entry (≈2013)</t>
  </si>
  <si>
    <t xml:space="preserve">Post-entry (≈2019)</t>
  </si>
  <si>
    <t xml:space="preserve">Monthly lease a driver pays</t>
  </si>
  <si>
    <t xml:space="preserve">entry by 120,000+ app vehicles halves what a shift is worth</t>
  </si>
  <si>
    <t xml:space="preserve">Annual rent to the owner</t>
  </si>
  <si>
    <t xml:space="preserve">Required return</t>
  </si>
  <si>
    <t xml:space="preserve">riskier asset after disruption → buyers demand more</t>
  </si>
  <si>
    <t xml:space="preserve">Capitalized medallion value</t>
  </si>
  <si>
    <t xml:space="preserve">equals annual rent ÷ required return (a perpetuity)</t>
  </si>
  <si>
    <t xml:space="preserve">Observed market price</t>
  </si>
  <si>
    <t xml:space="preserve">&gt;$1m (2013–14 peak; corporate to $1.3m)</t>
  </si>
  <si>
    <t xml:space="preserve">≈$335k (June 2019)</t>
  </si>
  <si>
    <t xml:space="preserve">the model lands within ~10% of both — rent explains the price</t>
  </si>
  <si>
    <t xml:space="preserve">WHAT ENTRY DID</t>
  </si>
  <si>
    <t xml:space="preserve">Yellow-cab medallions</t>
  </si>
  <si>
    <t xml:space="preserve">13,587 — capped, constant 2014–2018 (fixed supply is what makes rent possible)</t>
  </si>
  <si>
    <t xml:space="preserve">App-based vehicles</t>
  </si>
  <si>
    <t xml:space="preserve">≈40,000 (2010) → 120,000+ (2019) — a 9:1 ratio; supply the cap was supposed to prevent</t>
  </si>
  <si>
    <t xml:space="preserve">The rent's fate</t>
  </si>
  <si>
    <t xml:space="preserve">New supply competed away fares → lease fell → the perpetuity shrank AND got riskier → asset value collapsed ~70–85%</t>
  </si>
  <si>
    <t xml:space="preserve">Who lost</t>
  </si>
  <si>
    <t xml:space="preserve">Not (mostly) driving income — medallion OWNERS, incl. immigrant owner-drivers with $700k+ loans against peak values</t>
  </si>
  <si>
    <t xml:space="preserve">The lesson</t>
  </si>
  <si>
    <t xml:space="preserve">Economic rent attracts entry unless something blocks it; the medallion blocked entry into YELLOW CABS but not into rides</t>
  </si>
  <si>
    <t xml:space="preserve">CHECK FIGURES (instructor)</t>
  </si>
  <si>
    <t xml:space="preserve">Accounting profit</t>
  </si>
  <si>
    <t xml:space="preserve">Uber FT $50,520 · Uber PT $22,860 · Cab FT $59,580 · Traditional $52,200</t>
  </si>
  <si>
    <t xml:space="preserve">Economic profit</t>
  </si>
  <si>
    <t xml:space="preserve">Uber FT −$1,680 · Uber PT −$3,240 · Cab FT +$7,380 · Traditional +$1,680</t>
  </si>
  <si>
    <t xml:space="preserve">Medallion values</t>
  </si>
  <si>
    <t xml:space="preserve">$1,028,571 pre vs $300,000 post — observed: &gt;$1m peak, $335k June 2019</t>
  </si>
  <si>
    <t xml:space="preserve">Old template bugs</t>
  </si>
  <si>
    <t xml:space="preserve">Implicit cost used GROSS salary (net is right); PT charged a FULL-TIME opportunity cost; Economic Rent section was empty; stray refs (q_tomato, broken commission_to_uber) removed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</si>
</sst>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\$#,##0;&quot;($&quot;#,##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5F"/>
        <bgColor rgb="FF333333"/>
      </patternFill>
    </fill>
    <fill>
      <patternFill patternType="solid">
        <fgColor rgb="FFD5E8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2" min="2" style="0" width="112"/>
  </cols>
  <sheetData>
    <row r="2" customFormat="false" ht="18" hidden="false" customHeight="true" outlineLevel="0" collapsed="false">
      <c r="B2" s="1" t="s">
        <v>0</v>
      </c>
    </row>
    <row r="4" customFormat="false" ht="14.25" hidden="false" customHeight="false" outlineLevel="0" collapsed="false">
      <c r="B4" s="2" t="s">
        <v>1</v>
      </c>
    </row>
    <row r="5" customFormat="false" ht="49.5" hidden="false" customHeight="true" outlineLevel="0" collapsed="false">
      <c r="B5" s="3" t="s">
        <v>2</v>
      </c>
    </row>
    <row r="6" customFormat="false" ht="14.25" hidden="false" customHeight="false" outlineLevel="0" collapsed="false">
      <c r="B6" s="3"/>
    </row>
    <row r="7" customFormat="false" ht="14.25" hidden="false" customHeight="false" outlineLevel="0" collapsed="false">
      <c r="B7" s="2" t="s">
        <v>3</v>
      </c>
    </row>
    <row r="8" customFormat="false" ht="14.25" hidden="false" customHeight="false" outlineLevel="0" collapsed="false">
      <c r="B8" s="3" t="s">
        <v>4</v>
      </c>
    </row>
    <row r="9" customFormat="false" ht="24.75" hidden="false" customHeight="true" outlineLevel="0" collapsed="false">
      <c r="B9" s="3" t="s">
        <v>5</v>
      </c>
    </row>
    <row r="10" customFormat="false" ht="24.75" hidden="false" customHeight="true" outlineLevel="0" collapsed="false">
      <c r="B10" s="3" t="s">
        <v>6</v>
      </c>
    </row>
    <row r="11" customFormat="false" ht="24.75" hidden="false" customHeight="true" outlineLevel="0" collapsed="false">
      <c r="B11" s="3" t="s">
        <v>7</v>
      </c>
    </row>
    <row r="12" customFormat="false" ht="14.25" hidden="false" customHeight="false" outlineLevel="0" collapsed="false">
      <c r="B12" s="3"/>
    </row>
    <row r="13" customFormat="false" ht="14.25" hidden="false" customHeight="false" outlineLevel="0" collapsed="false">
      <c r="B13" s="2" t="s">
        <v>8</v>
      </c>
    </row>
    <row r="14" customFormat="false" ht="49.5" hidden="false" customHeight="true" outlineLevel="0" collapsed="false">
      <c r="B14" s="3" t="s">
        <v>9</v>
      </c>
    </row>
    <row r="16" customFormat="false" ht="14.25" hidden="false" customHeight="false" outlineLevel="0" collapsed="false">
      <c r="B16" s="2" t="s">
        <v>10</v>
      </c>
    </row>
    <row r="17" customFormat="false" ht="14.25" hidden="false" customHeight="false" outlineLevel="0" collapsed="false">
      <c r="B17" s="4" t="s">
        <v>11</v>
      </c>
    </row>
    <row r="18" customFormat="false" ht="14.25" hidden="false" customHeight="false" outlineLevel="0" collapsed="false">
      <c r="B18" s="5" t="s">
        <v>12</v>
      </c>
    </row>
    <row r="19" customFormat="false" ht="14.25" hidden="false" customHeight="false" outlineLevel="0" collapsed="false">
      <c r="B19" s="6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6" min="3" style="0" width="14"/>
    <col collapsed="false" customWidth="true" hidden="false" outlineLevel="0" max="7" min="7" style="0" width="44"/>
    <col collapsed="false" customWidth="true" hidden="false" outlineLevel="0" max="8" min="8" style="0" width="10"/>
  </cols>
  <sheetData>
    <row r="2" customFormat="false" ht="18" hidden="false" customHeight="true" outlineLevel="0" collapsed="false">
      <c r="B2" s="1" t="s">
        <v>14</v>
      </c>
    </row>
    <row r="4" customFormat="false" ht="14.25" hidden="false" customHeight="false" outlineLevel="0" collapsed="false">
      <c r="B4" s="7" t="s">
        <v>15</v>
      </c>
      <c r="C4" s="8"/>
      <c r="D4" s="8"/>
    </row>
    <row r="5" customFormat="false" ht="14.25" hidden="false" customHeight="false" outlineLevel="0" collapsed="false">
      <c r="B5" s="5" t="s">
        <v>16</v>
      </c>
      <c r="C5" s="9" t="n">
        <v>30</v>
      </c>
      <c r="D5" s="5" t="s">
        <v>17</v>
      </c>
    </row>
    <row r="6" customFormat="false" ht="14.25" hidden="false" customHeight="false" outlineLevel="0" collapsed="false">
      <c r="B6" s="5" t="s">
        <v>18</v>
      </c>
      <c r="C6" s="10" t="n">
        <v>0.25</v>
      </c>
      <c r="D6" s="5" t="s">
        <v>19</v>
      </c>
    </row>
    <row r="7" customFormat="false" ht="14.25" hidden="false" customHeight="false" outlineLevel="0" collapsed="false">
      <c r="B7" s="5" t="s">
        <v>20</v>
      </c>
      <c r="C7" s="11" t="n">
        <v>20</v>
      </c>
    </row>
    <row r="8" customFormat="false" ht="14.25" hidden="false" customHeight="false" outlineLevel="0" collapsed="false">
      <c r="B8" s="5" t="s">
        <v>21</v>
      </c>
      <c r="C8" s="9" t="n">
        <v>8</v>
      </c>
    </row>
    <row r="9" customFormat="false" ht="14.25" hidden="false" customHeight="false" outlineLevel="0" collapsed="false">
      <c r="B9" s="5" t="s">
        <v>22</v>
      </c>
      <c r="C9" s="11" t="n">
        <v>450</v>
      </c>
      <c r="D9" s="5" t="s">
        <v>23</v>
      </c>
    </row>
    <row r="11" customFormat="false" ht="14.25" hidden="false" customHeight="false" outlineLevel="0" collapsed="false">
      <c r="B11" s="12"/>
      <c r="C11" s="12" t="s">
        <v>24</v>
      </c>
      <c r="D11" s="12" t="s">
        <v>25</v>
      </c>
      <c r="E11" s="12" t="s">
        <v>26</v>
      </c>
      <c r="F11" s="12" t="s">
        <v>27</v>
      </c>
      <c r="G11" s="12" t="s">
        <v>28</v>
      </c>
    </row>
    <row r="12" customFormat="false" ht="14.25" hidden="false" customHeight="false" outlineLevel="0" collapsed="false">
      <c r="B12" s="5" t="s">
        <v>29</v>
      </c>
      <c r="C12" s="9" t="n">
        <v>20</v>
      </c>
      <c r="D12" s="9" t="n">
        <v>10</v>
      </c>
      <c r="E12" s="9" t="n">
        <v>30</v>
      </c>
    </row>
    <row r="13" customFormat="false" ht="14.25" hidden="false" customHeight="false" outlineLevel="0" collapsed="false">
      <c r="B13" s="5" t="s">
        <v>30</v>
      </c>
      <c r="C13" s="11" t="n">
        <v>12</v>
      </c>
      <c r="D13" s="11" t="n">
        <v>12</v>
      </c>
      <c r="E13" s="11" t="n">
        <v>10</v>
      </c>
    </row>
    <row r="14" customFormat="false" ht="14.25" hidden="false" customHeight="false" outlineLevel="0" collapsed="false">
      <c r="B14" s="5" t="s">
        <v>31</v>
      </c>
      <c r="C14" s="9" t="n">
        <v>8</v>
      </c>
      <c r="D14" s="9" t="n">
        <v>4</v>
      </c>
      <c r="E14" s="9" t="n">
        <v>10</v>
      </c>
      <c r="F14" s="13" t="n">
        <f aca="false">rs_hours</f>
        <v>8</v>
      </c>
      <c r="G14" s="5" t="s">
        <v>32</v>
      </c>
    </row>
    <row r="15" customFormat="false" ht="14.25" hidden="false" customHeight="false" outlineLevel="0" collapsed="false">
      <c r="B15" s="2" t="s">
        <v>33</v>
      </c>
      <c r="C15" s="14" t="n">
        <f aca="false">C12*C13*rs_days</f>
        <v>7200</v>
      </c>
      <c r="D15" s="14" t="n">
        <f aca="false">D12*D13*rs_days</f>
        <v>3600</v>
      </c>
      <c r="E15" s="14" t="n">
        <f aca="false">E12*E13*rs_days</f>
        <v>9000</v>
      </c>
      <c r="F15" s="14" t="n">
        <f aca="false">rs_wage*rs_hours*rs_days</f>
        <v>4800</v>
      </c>
    </row>
    <row r="16" customFormat="false" ht="14.25" hidden="false" customHeight="false" outlineLevel="0" collapsed="false">
      <c r="B16" s="2" t="s">
        <v>34</v>
      </c>
    </row>
    <row r="17" customFormat="false" ht="14.25" hidden="false" customHeight="false" outlineLevel="0" collapsed="false">
      <c r="B17" s="5" t="s">
        <v>35</v>
      </c>
      <c r="C17" s="11" t="n">
        <v>250</v>
      </c>
      <c r="D17" s="11" t="n">
        <v>250</v>
      </c>
      <c r="G17" s="5" t="s">
        <v>36</v>
      </c>
    </row>
    <row r="18" customFormat="false" ht="14.25" hidden="false" customHeight="false" outlineLevel="0" collapsed="false">
      <c r="B18" s="5" t="s">
        <v>37</v>
      </c>
      <c r="C18" s="11" t="n">
        <v>150</v>
      </c>
      <c r="D18" s="11" t="n">
        <v>150</v>
      </c>
    </row>
    <row r="19" customFormat="false" ht="14.25" hidden="false" customHeight="false" outlineLevel="0" collapsed="false">
      <c r="B19" s="5" t="s">
        <v>38</v>
      </c>
      <c r="C19" s="11" t="n">
        <v>690</v>
      </c>
      <c r="D19" s="11" t="n">
        <v>345</v>
      </c>
      <c r="E19" s="11" t="n">
        <v>1035</v>
      </c>
      <c r="G19" s="5" t="s">
        <v>39</v>
      </c>
    </row>
    <row r="20" customFormat="false" ht="14.25" hidden="false" customHeight="false" outlineLevel="0" collapsed="false">
      <c r="B20" s="5" t="s">
        <v>40</v>
      </c>
      <c r="C20" s="11" t="n">
        <v>100</v>
      </c>
      <c r="D20" s="11" t="n">
        <v>50</v>
      </c>
    </row>
    <row r="21" customFormat="false" ht="14.25" hidden="false" customHeight="false" outlineLevel="0" collapsed="false">
      <c r="B21" s="5" t="s">
        <v>18</v>
      </c>
      <c r="C21" s="15" t="n">
        <f aca="false">C15*rs_comm</f>
        <v>1800</v>
      </c>
      <c r="D21" s="15" t="n">
        <f aca="false">D15*rs_comm</f>
        <v>900</v>
      </c>
      <c r="G21" s="5" t="s">
        <v>41</v>
      </c>
    </row>
    <row r="22" customFormat="false" ht="14.25" hidden="false" customHeight="false" outlineLevel="0" collapsed="false">
      <c r="B22" s="5" t="s">
        <v>42</v>
      </c>
      <c r="E22" s="11" t="n">
        <v>3000</v>
      </c>
      <c r="G22" s="5" t="s">
        <v>43</v>
      </c>
    </row>
    <row r="23" customFormat="false" ht="14.25" hidden="false" customHeight="false" outlineLevel="0" collapsed="false">
      <c r="B23" s="5" t="s">
        <v>44</v>
      </c>
      <c r="F23" s="15" t="n">
        <f aca="false">rs_commute</f>
        <v>450</v>
      </c>
    </row>
    <row r="24" customFormat="false" ht="14.25" hidden="false" customHeight="false" outlineLevel="0" collapsed="false">
      <c r="B24" s="2" t="s">
        <v>45</v>
      </c>
      <c r="C24" s="14" t="n">
        <f aca="false">SUM(C17:C21)</f>
        <v>2990</v>
      </c>
      <c r="D24" s="14" t="n">
        <f aca="false">SUM(D17:D21)</f>
        <v>1695</v>
      </c>
      <c r="E24" s="14" t="n">
        <f aca="false">SUM(E19:E22)</f>
        <v>4035</v>
      </c>
      <c r="F24" s="14" t="n">
        <f aca="false">F23</f>
        <v>450</v>
      </c>
    </row>
    <row r="26" customFormat="false" ht="14.25" hidden="false" customHeight="false" outlineLevel="0" collapsed="false">
      <c r="B26" s="2" t="s">
        <v>46</v>
      </c>
      <c r="C26" s="14" t="n">
        <f aca="false">C15*12</f>
        <v>86400</v>
      </c>
      <c r="D26" s="14" t="n">
        <f aca="false">D15*12</f>
        <v>43200</v>
      </c>
      <c r="E26" s="14" t="n">
        <f aca="false">E15*12</f>
        <v>108000</v>
      </c>
      <c r="F26" s="14" t="n">
        <f aca="false">F15*12</f>
        <v>57600</v>
      </c>
    </row>
    <row r="27" customFormat="false" ht="14.25" hidden="false" customHeight="false" outlineLevel="0" collapsed="false">
      <c r="B27" s="5" t="s">
        <v>47</v>
      </c>
      <c r="C27" s="15" t="n">
        <f aca="false">C24*12</f>
        <v>35880</v>
      </c>
      <c r="D27" s="15" t="n">
        <f aca="false">D24*12</f>
        <v>20340</v>
      </c>
      <c r="E27" s="15" t="n">
        <f aca="false">E24*12</f>
        <v>48420</v>
      </c>
      <c r="F27" s="15" t="n">
        <f aca="false">F24*12</f>
        <v>5400</v>
      </c>
    </row>
    <row r="28" customFormat="false" ht="14.25" hidden="false" customHeight="false" outlineLevel="0" collapsed="false">
      <c r="B28" s="2" t="s">
        <v>48</v>
      </c>
      <c r="C28" s="16" t="n">
        <f aca="false">C26-C27</f>
        <v>50520</v>
      </c>
      <c r="D28" s="16" t="n">
        <f aca="false">D26-D27</f>
        <v>22860</v>
      </c>
      <c r="E28" s="16" t="n">
        <f aca="false">E26-E27</f>
        <v>59580</v>
      </c>
      <c r="F28" s="16" t="n">
        <f aca="false">F26-F27</f>
        <v>52200</v>
      </c>
      <c r="G28" s="5" t="s">
        <v>49</v>
      </c>
    </row>
    <row r="29" customFormat="false" ht="14.25" hidden="false" customHeight="false" outlineLevel="0" collapsed="false">
      <c r="B29" s="5" t="s">
        <v>50</v>
      </c>
      <c r="C29" s="17" t="n">
        <f aca="false">rs_acct_trad</f>
        <v>52200</v>
      </c>
      <c r="D29" s="17" t="n">
        <f aca="false">rs_acct_trad/2</f>
        <v>26100</v>
      </c>
      <c r="E29" s="17" t="n">
        <f aca="false">rs_acct_trad</f>
        <v>52200</v>
      </c>
      <c r="F29" s="17" t="n">
        <f aca="false">rs_acct_uberft</f>
        <v>50520</v>
      </c>
      <c r="G29" s="5" t="s">
        <v>51</v>
      </c>
    </row>
    <row r="30" customFormat="false" ht="14.25" hidden="false" customHeight="false" outlineLevel="0" collapsed="false">
      <c r="B30" s="2" t="s">
        <v>52</v>
      </c>
      <c r="C30" s="16" t="n">
        <f aca="false">C28-C29</f>
        <v>-1680</v>
      </c>
      <c r="D30" s="16" t="n">
        <f aca="false">D28-D29</f>
        <v>-3240</v>
      </c>
      <c r="E30" s="16" t="n">
        <f aca="false">E28-E29</f>
        <v>7380</v>
      </c>
      <c r="F30" s="16" t="n">
        <f aca="false">F28-F29</f>
        <v>1680</v>
      </c>
      <c r="G30" s="5" t="s">
        <v>53</v>
      </c>
    </row>
    <row r="31" customFormat="false" ht="14.25" hidden="false" customHeight="false" outlineLevel="0" collapsed="false">
      <c r="B31" s="5" t="s">
        <v>54</v>
      </c>
      <c r="C31" s="17" t="n">
        <f aca="false">C29</f>
        <v>52200</v>
      </c>
      <c r="D31" s="17" t="n">
        <f aca="false">D29</f>
        <v>26100</v>
      </c>
      <c r="E31" s="17" t="n">
        <f aca="false">E29</f>
        <v>52200</v>
      </c>
      <c r="F31" s="17" t="n">
        <f aca="false">F29</f>
        <v>50520</v>
      </c>
      <c r="G31" s="5" t="s">
        <v>55</v>
      </c>
    </row>
    <row r="33" customFormat="false" ht="14.25" hidden="false" customHeight="false" outlineLevel="0" collapsed="false">
      <c r="B33" s="7" t="s">
        <v>56</v>
      </c>
      <c r="C33" s="8"/>
      <c r="D33" s="8"/>
      <c r="E33" s="8"/>
      <c r="F33" s="8"/>
    </row>
    <row r="34" customFormat="false" ht="14.25" hidden="false" customHeight="false" outlineLevel="0" collapsed="false">
      <c r="B34" s="5" t="s">
        <v>57</v>
      </c>
    </row>
    <row r="35" customFormat="false" ht="14.25" hidden="false" customHeight="false" outlineLevel="0" collapsed="false">
      <c r="B35" s="5" t="s">
        <v>58</v>
      </c>
    </row>
    <row r="36" customFormat="false" ht="14.25" hidden="false" customHeight="false" outlineLevel="0" collapsed="false">
      <c r="B36" s="5" t="s">
        <v>59</v>
      </c>
    </row>
    <row r="37" customFormat="false" ht="14.25" hidden="false" customHeight="false" outlineLevel="0" collapsed="false">
      <c r="B37" s="5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4" min="3" style="0" width="16"/>
    <col collapsed="false" customWidth="true" hidden="false" outlineLevel="0" max="5" min="5" style="0" width="52"/>
    <col collapsed="false" customWidth="true" hidden="false" outlineLevel="0" max="6" min="6" style="0" width="10"/>
  </cols>
  <sheetData>
    <row r="2" customFormat="false" ht="18" hidden="false" customHeight="true" outlineLevel="0" collapsed="false">
      <c r="B2" s="1" t="s">
        <v>61</v>
      </c>
    </row>
    <row r="3" customFormat="false" ht="42" hidden="false" customHeight="true" outlineLevel="0" collapsed="false">
      <c r="B3" s="3" t="s">
        <v>62</v>
      </c>
    </row>
    <row r="5" customFormat="false" ht="14.25" hidden="false" customHeight="false" outlineLevel="0" collapsed="false">
      <c r="B5" s="7" t="s">
        <v>63</v>
      </c>
      <c r="C5" s="8"/>
      <c r="D5" s="8"/>
      <c r="E5" s="8"/>
    </row>
    <row r="6" customFormat="false" ht="14.25" hidden="false" customHeight="false" outlineLevel="0" collapsed="false">
      <c r="B6" s="12"/>
      <c r="C6" s="12" t="s">
        <v>64</v>
      </c>
      <c r="D6" s="12" t="s">
        <v>65</v>
      </c>
      <c r="E6" s="12" t="s">
        <v>28</v>
      </c>
    </row>
    <row r="7" customFormat="false" ht="14.25" hidden="false" customHeight="false" outlineLevel="0" collapsed="false">
      <c r="B7" s="5" t="s">
        <v>66</v>
      </c>
      <c r="C7" s="11" t="n">
        <v>3000</v>
      </c>
      <c r="D7" s="11" t="n">
        <v>1500</v>
      </c>
      <c r="E7" s="5" t="s">
        <v>67</v>
      </c>
    </row>
    <row r="8" customFormat="false" ht="14.25" hidden="false" customHeight="false" outlineLevel="0" collapsed="false">
      <c r="B8" s="5" t="s">
        <v>68</v>
      </c>
      <c r="C8" s="15" t="n">
        <f aca="false">C7*12</f>
        <v>36000</v>
      </c>
      <c r="D8" s="15" t="n">
        <f aca="false">D7*12</f>
        <v>18000</v>
      </c>
    </row>
    <row r="9" customFormat="false" ht="14.25" hidden="false" customHeight="false" outlineLevel="0" collapsed="false">
      <c r="B9" s="5" t="s">
        <v>69</v>
      </c>
      <c r="C9" s="10" t="n">
        <v>0.035</v>
      </c>
      <c r="D9" s="10" t="n">
        <v>0.06</v>
      </c>
      <c r="E9" s="5" t="s">
        <v>70</v>
      </c>
    </row>
    <row r="10" customFormat="false" ht="14.25" hidden="false" customHeight="false" outlineLevel="0" collapsed="false">
      <c r="B10" s="2" t="s">
        <v>71</v>
      </c>
      <c r="C10" s="16" t="n">
        <f aca="false">C8/C9</f>
        <v>1028571.42857143</v>
      </c>
      <c r="D10" s="16" t="n">
        <f aca="false">D8/D9</f>
        <v>300000</v>
      </c>
      <c r="E10" s="5" t="s">
        <v>72</v>
      </c>
    </row>
    <row r="11" customFormat="false" ht="14.25" hidden="false" customHeight="false" outlineLevel="0" collapsed="false">
      <c r="B11" s="5" t="s">
        <v>73</v>
      </c>
      <c r="C11" s="5" t="s">
        <v>74</v>
      </c>
      <c r="D11" s="5" t="s">
        <v>75</v>
      </c>
      <c r="E11" s="5" t="s">
        <v>76</v>
      </c>
    </row>
    <row r="13" customFormat="false" ht="14.25" hidden="false" customHeight="false" outlineLevel="0" collapsed="false">
      <c r="B13" s="7" t="s">
        <v>77</v>
      </c>
      <c r="C13" s="8"/>
      <c r="D13" s="8"/>
      <c r="E13" s="8"/>
    </row>
    <row r="14" customFormat="false" ht="14.25" hidden="false" customHeight="false" outlineLevel="0" collapsed="false">
      <c r="B14" s="2" t="s">
        <v>78</v>
      </c>
      <c r="C14" s="18" t="s">
        <v>79</v>
      </c>
      <c r="D14" s="18"/>
      <c r="E14" s="18"/>
    </row>
    <row r="15" customFormat="false" ht="14.25" hidden="false" customHeight="false" outlineLevel="0" collapsed="false">
      <c r="B15" s="2" t="s">
        <v>80</v>
      </c>
      <c r="C15" s="18" t="s">
        <v>81</v>
      </c>
      <c r="D15" s="18"/>
      <c r="E15" s="18"/>
    </row>
    <row r="16" customFormat="false" ht="14.25" hidden="false" customHeight="false" outlineLevel="0" collapsed="false">
      <c r="B16" s="2" t="s">
        <v>82</v>
      </c>
      <c r="C16" s="18" t="s">
        <v>83</v>
      </c>
      <c r="D16" s="18"/>
      <c r="E16" s="18"/>
    </row>
    <row r="17" customFormat="false" ht="14.25" hidden="false" customHeight="false" outlineLevel="0" collapsed="false">
      <c r="B17" s="2" t="s">
        <v>84</v>
      </c>
      <c r="C17" s="18" t="s">
        <v>85</v>
      </c>
      <c r="D17" s="18"/>
      <c r="E17" s="18"/>
    </row>
    <row r="18" customFormat="false" ht="14.25" hidden="false" customHeight="false" outlineLevel="0" collapsed="false">
      <c r="B18" s="2" t="s">
        <v>86</v>
      </c>
      <c r="C18" s="18" t="s">
        <v>87</v>
      </c>
      <c r="D18" s="18"/>
      <c r="E18" s="18"/>
    </row>
    <row r="20" customFormat="false" ht="14.25" hidden="false" customHeight="false" outlineLevel="0" collapsed="false">
      <c r="B20" s="7" t="s">
        <v>88</v>
      </c>
      <c r="C20" s="8"/>
      <c r="D20" s="8"/>
    </row>
    <row r="21" customFormat="false" ht="14.25" hidden="false" customHeight="false" outlineLevel="0" collapsed="false">
      <c r="B21" s="2" t="s">
        <v>89</v>
      </c>
      <c r="C21" s="5" t="s">
        <v>90</v>
      </c>
    </row>
    <row r="22" customFormat="false" ht="14.25" hidden="false" customHeight="false" outlineLevel="0" collapsed="false">
      <c r="B22" s="2" t="s">
        <v>91</v>
      </c>
      <c r="C22" s="5" t="s">
        <v>92</v>
      </c>
    </row>
    <row r="23" customFormat="false" ht="14.25" hidden="false" customHeight="false" outlineLevel="0" collapsed="false">
      <c r="B23" s="2" t="s">
        <v>93</v>
      </c>
      <c r="C23" s="5" t="s">
        <v>94</v>
      </c>
    </row>
    <row r="24" customFormat="false" ht="14.25" hidden="false" customHeight="false" outlineLevel="0" collapsed="false">
      <c r="B24" s="2" t="s">
        <v>95</v>
      </c>
      <c r="C24" s="5" t="s">
        <v>96</v>
      </c>
    </row>
  </sheetData>
  <mergeCells count="5">
    <mergeCell ref="C14:E14"/>
    <mergeCell ref="C15:E15"/>
    <mergeCell ref="C16:E16"/>
    <mergeCell ref="C17:E17"/>
    <mergeCell ref="C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2026-07-07T20:02:12Z</dcterms:created>
  <dc:creator>openpyxl</dc:creator>
  <dc:description/>
  <dc:language>en-US</dc:language>
  <cp:lastModifiedBy>Adam Stauffer</cp:lastModifiedBy>
  <dcterms:modified xsi:type="dcterms:W3CDTF">2026-07-31T22:20:22Z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