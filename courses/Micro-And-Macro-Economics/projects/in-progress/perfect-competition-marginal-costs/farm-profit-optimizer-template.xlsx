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odel" sheetId="2" state="visible" r:id="rId4"/>
    <sheet name="MC Schedules" sheetId="3" state="visible" r:id="rId5"/>
  </sheets>
  <definedNames>
    <definedName function="false" hidden="false" name="beds_max" vbProcedure="false">Model!$C$15</definedName>
    <definedName function="false" hidden="false" name="beds_total" vbProcedure="false">Model!$C$35</definedName>
    <definedName function="false" hidden="false" name="costs_fixed" vbProcedure="false">Model!$C$6</definedName>
    <definedName function="false" hidden="false" name="costs_total" vbProcedure="false">Model!$C$47</definedName>
    <definedName function="false" hidden="false" name="dim_carrot" vbProcedure="false">Model!$G$21</definedName>
    <definedName function="false" hidden="false" name="dim_mesclun" vbProcedure="false">Model!$G$22</definedName>
    <definedName function="false" hidden="false" name="dim_tomato" vbProcedure="false">Model!$G$20</definedName>
    <definedName function="false" hidden="false" name="fert_carrot" vbProcedure="false">Model!$F$21</definedName>
    <definedName function="false" hidden="false" name="fert_mesclun" vbProcedure="false">Model!$F$22</definedName>
    <definedName function="false" hidden="false" name="fert_tomato" vbProcedure="false">Model!$F$20</definedName>
    <definedName function="false" hidden="false" name="hrs_total" vbProcedure="false">Model!$E$35</definedName>
    <definedName function="false" hidden="false" name="laborwk_carrot" vbProcedure="false">Model!$E$21</definedName>
    <definedName function="false" hidden="false" name="laborwk_mesclun" vbProcedure="false">Model!$E$22</definedName>
    <definedName function="false" hidden="false" name="laborwk_tomato" vbProcedure="false">Model!$E$20</definedName>
    <definedName function="false" hidden="false" name="labor_cost_total" vbProcedure="false">Model!$C$41</definedName>
    <definedName function="false" hidden="false" name="labor_hrs_season" vbProcedure="false">Model!$C$8</definedName>
    <definedName function="false" hidden="false" name="labor_hrs_week" vbProcedure="false">Model!$C$7</definedName>
    <definedName function="false" hidden="false" name="max_carrot" vbProcedure="false">Model!$C$21</definedName>
    <definedName function="false" hidden="false" name="max_mesclun" vbProcedure="false">Model!$C$22</definedName>
    <definedName function="false" hidden="false" name="max_tomato" vbProcedure="false">Model!$C$20</definedName>
    <definedName function="false" hidden="false" name="perm_field_hrs" vbProcedure="false">Model!$F$11</definedName>
    <definedName function="false" hidden="false" name="perm_used" vbProcedure="false">Model!$C$38</definedName>
    <definedName function="false" hidden="false" name="price_carrot" vbProcedure="false">Model!$D$21</definedName>
    <definedName function="false" hidden="false" name="price_mesclun" vbProcedure="false">Model!$D$22</definedName>
    <definedName function="false" hidden="false" name="price_tomato" vbProcedure="false">Model!$D$20</definedName>
    <definedName function="false" hidden="false" name="profit_total" vbProcedure="false">Model!$C$48</definedName>
    <definedName function="false" hidden="false" name="q_carrot" vbProcedure="false">Model!$C$27</definedName>
    <definedName function="false" hidden="false" name="q_mesclun" vbProcedure="false">Model!$C$28</definedName>
    <definedName function="false" hidden="false" name="q_tomato" vbProcedure="false">Model!$C$26</definedName>
    <definedName function="false" hidden="false" name="rev_total" vbProcedure="false">Model!$D$35</definedName>
    <definedName function="false" hidden="false" name="season_wks" vbProcedure="false">Model!$C$5</definedName>
    <definedName function="false" hidden="false" name="temp_hrs" vbProcedure="false">Model!$C$39</definedName>
    <definedName function="false" hidden="false" name="temp_hrs_each" vbProcedure="false">Model!$F$12</definedName>
    <definedName function="false" hidden="false" name="temp_max" vbProcedure="false">Model!$C$16</definedName>
    <definedName function="false" hidden="false" name="temp_needed" vbProcedure="false">Model!$C$40</definedName>
    <definedName function="false" hidden="false" name="wage_perm" vbProcedure="false">Model!$E$11</definedName>
    <definedName function="false" hidden="false" name="wage_temp" vbProcedure="false">Model!$E$12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<sst xmlns="http://schemas.openxmlformats.org/spreadsheetml/2006/main" count="132" uniqueCount="89">
  <si>
    <t xml:space="preserve">Farm Profit Optimizer — Perfect Competition &amp; Marginal Cost</t>
  </si>
  <si>
    <t xml:space="preserve">BUS 620 · Micro &amp; Macro Economics · Shidler College of Business</t>
  </si>
  <si>
    <t xml:space="preserve">A price-taking market garden chooses how many beds of Tomatoes, Carrots, and Mesclun to plant. Labor per bed grows with each extra bed (diminishing returns), so marginal cost rises — and the profit-maximizing quantity is where price meets marginal cost. This workbook holds the full farm model (sheet: Model) and the per-crop marginal-cost schedules with charts (sheet: MC Schedules).</t>
  </si>
  <si>
    <t xml:space="preserve">HOW TO USE</t>
  </si>
  <si>
    <t xml:space="preserve">1. Read the assumptions on the Model sheet. Blue cells are inputs you may change; black cells are formulas — do not overtype them.</t>
  </si>
  <si>
    <t xml:space="preserve">2. Enter a planting plan in the DECISION cells (beds of each crop). Watch the constraint checks: total beds &lt;= 64, temp workers &lt;= 4, each crop &lt;= its max.</t>
  </si>
  <si>
    <t xml:space="preserve">3. Study the MC Schedules sheet: for each crop grown alone, watch total cost, marginal cost (MC), and average variable cost (AVC) as beds increase. The '&lt;-- P ~ MC' marker shows where price crosses marginal cost.</t>
  </si>
  <si>
    <t xml:space="preserve">4. Optimize with Excel Solver (Data &gt; Solver): Set Objective = profit_total (Max). By Changing = q_tomato, q_carrot, q_mesclun. Constraints: each q &gt;= 0 and integer; q_tomato &lt;= 20; q_carrot &lt;= 20; q_mesclun &lt;= 30; beds_total &lt;= 64; temp_needed &lt;= 4. Solving method: GRG Nonlinear (the model is nonlinear because of diminishing returns). Try a few different starting values — nonlinear models can have local optima.</t>
  </si>
  <si>
    <t xml:space="preserve">5. Sanity-check Solver's answer against the MC logic: a crop at an interior optimum should have MC just below its price; a crop pinned at its bed cap should still have MC below price (the constraint, not economics, stops it).</t>
  </si>
  <si>
    <t xml:space="preserve">MODEL CONVENTIONS</t>
  </si>
  <si>
    <t xml:space="preserve">Labor: each bed of a crop needs (hrs/wk/bed) x 36 weeks, multiplied by (1 + diminishing %)^beds — the more beds, the more care each additional bed takes. The farmer (permanent) supplies the first 720 field hours per season at her implied wage; temporary workers cover the rest at theirs. Fractional (part-time) temps are allowed, up to 4 full-time equivalents.</t>
  </si>
  <si>
    <t xml:space="preserve">Labor cost per crop in the farm P&amp;L is allocated at the blended farm-wide rate (total labor cost / total hours) — the perm/temp split is a farm-level fact, not a per-crop one.</t>
  </si>
  <si>
    <t xml:space="preserve">The farmer's field time is charged at $50,000 / 1,440 hrs = $34.72/hr. Discussion point: her salary is paid regardless — is that an economic (opportunity) cost of growing, or a fixed cost? Compare with the Accounting vs Economic Profit case.</t>
  </si>
  <si>
    <t xml:space="preserve">Watch the tomato MC column dip at ~6 beds: the farmer's 720 hours run out and cheaper temp labor ($17.36/hr) takes over. MC can fall when the marginal input gets cheaper, even with diminishing returns — then diminishing returns win again and MC resumes climbing.</t>
  </si>
  <si>
    <t xml:space="preserve">COLOR KEY</t>
  </si>
  <si>
    <t xml:space="preserve">Blue text = input you can change</t>
  </si>
  <si>
    <t xml:space="preserve">Black text = formula (do not overtype)</t>
  </si>
  <si>
    <t xml:space="preserve">Yellow fill = decision cells Solver changes</t>
  </si>
  <si>
    <t xml:space="preserve">FIXES vs v5 (instructor reference)</t>
  </si>
  <si>
    <t xml:space="preserve">- Mesclun MIX row previously pulled carrot labor hours (copy-paste bug); per-crop tables were coupled to the MIX total via q_beds. Both decoupled.</t>
  </si>
  <si>
    <t xml:space="preserve">- Temp-labor cap previously compared hours to 1,440 instead of 4 workers; now temp_needed &lt;= temp_max is an explicit checked constraint.</t>
  </si>
  <si>
    <t xml:space="preserve">- Wages were hardcoded (=50000/...) inside formulas; salaries are now blue input cells.</t>
  </si>
  <si>
    <t xml:space="preserve">- Named-range typos fixed (fert_carrotrs, labour_hrs, 'Tomotoes', 'Mesculun').</t>
  </si>
  <si>
    <t xml:space="preserve">- Added AVC column (shutdown discussion), feasibility flags, blended-rate allocation, Solver instructions, and this README.</t>
  </si>
  <si>
    <t xml:space="preserve">Farm Profit Model — 1.5-acre market garden, 64 beds</t>
  </si>
  <si>
    <t xml:space="preserve">ASSUMPTIONS</t>
  </si>
  <si>
    <t xml:space="preserve">Season length (weeks)</t>
  </si>
  <si>
    <t xml:space="preserve">Fixed costs ($/season)</t>
  </si>
  <si>
    <t xml:space="preserve">Work week (hrs)</t>
  </si>
  <si>
    <t xml:space="preserve">Hours per season</t>
  </si>
  <si>
    <t xml:space="preserve">Labor</t>
  </si>
  <si>
    <t xml:space="preserve">Salary $/season</t>
  </si>
  <si>
    <t xml:space="preserve">Field time %</t>
  </si>
  <si>
    <t xml:space="preserve">Wage $/hr</t>
  </si>
  <si>
    <t xml:space="preserve">Field hrs/season</t>
  </si>
  <si>
    <t xml:space="preserve">Permanent (the farmer)</t>
  </si>
  <si>
    <t xml:space="preserve">Temporary (each, up to 4)</t>
  </si>
  <si>
    <t xml:space="preserve">CONSTRAINTS</t>
  </si>
  <si>
    <t xml:space="preserve">Total beds (max)</t>
  </si>
  <si>
    <t xml:space="preserve">Temp workers (max)</t>
  </si>
  <si>
    <t xml:space="preserve">CROPS</t>
  </si>
  <si>
    <t xml:space="preserve">Crop</t>
  </si>
  <si>
    <t xml:space="preserve">Max beds</t>
  </si>
  <si>
    <t xml:space="preserve">Price $/bed</t>
  </si>
  <si>
    <t xml:space="preserve">Labor hrs/wk/bed</t>
  </si>
  <si>
    <t xml:space="preserve">Fertilizer $/bed</t>
  </si>
  <si>
    <t xml:space="preserve">Diminishing %/bed</t>
  </si>
  <si>
    <t xml:space="preserve">Tomatoes</t>
  </si>
  <si>
    <t xml:space="preserve">Carrot labor = tomato/3, mesclun = tomato/2 (less finicky crops)</t>
  </si>
  <si>
    <t xml:space="preserve">Carrots</t>
  </si>
  <si>
    <t xml:space="preserve">Mesclun</t>
  </si>
  <si>
    <t xml:space="preserve">DECISION — beds to plant</t>
  </si>
  <si>
    <t xml:space="preserve">Beds</t>
  </si>
  <si>
    <t xml:space="preserve">Max</t>
  </si>
  <si>
    <t xml:space="preserve">Check</t>
  </si>
  <si>
    <t xml:space="preserve">FARM P&amp;L</t>
  </si>
  <si>
    <t xml:space="preserve">Revenue $</t>
  </si>
  <si>
    <t xml:space="preserve">Labor hrs</t>
  </si>
  <si>
    <t xml:space="preserve">Labor $</t>
  </si>
  <si>
    <t xml:space="preserve">Fertilizer $</t>
  </si>
  <si>
    <t xml:space="preserve">Variable $</t>
  </si>
  <si>
    <t xml:space="preserve">TOTAL</t>
  </si>
  <si>
    <t xml:space="preserve">LABOR</t>
  </si>
  <si>
    <t xml:space="preserve">Permanent field hrs used</t>
  </si>
  <si>
    <t xml:space="preserve">Temporary hrs needed</t>
  </si>
  <si>
    <t xml:space="preserve">Temporary workers needed</t>
  </si>
  <si>
    <t xml:space="preserve">Labor cost ($)</t>
  </si>
  <si>
    <t xml:space="preserve">PROFIT</t>
  </si>
  <si>
    <t xml:space="preserve">Revenue</t>
  </si>
  <si>
    <t xml:space="preserve">Variable costs (labor + fertilizer)</t>
  </si>
  <si>
    <t xml:space="preserve">Fixed costs</t>
  </si>
  <si>
    <t xml:space="preserve">Total costs</t>
  </si>
  <si>
    <t xml:space="preserve">Beds check:</t>
  </si>
  <si>
    <t xml:space="preserve">Marginal-cost schedules — each crop grown alone (all other beds = 0)</t>
  </si>
  <si>
    <t xml:space="preserve">TOMATOES  (price $8,800/bed)</t>
  </si>
  <si>
    <t xml:space="preserve">q beds</t>
  </si>
  <si>
    <t xml:space="preserve">Perm hrs</t>
  </si>
  <si>
    <t xml:space="preserve">Temp hrs</t>
  </si>
  <si>
    <t xml:space="preserve">Temp #</t>
  </si>
  <si>
    <t xml:space="preserve">Fert $</t>
  </si>
  <si>
    <t xml:space="preserve">Total cost $</t>
  </si>
  <si>
    <t xml:space="preserve">MC $/bed</t>
  </si>
  <si>
    <t xml:space="preserve">AVC $/bed</t>
  </si>
  <si>
    <t xml:space="preserve">Profit $</t>
  </si>
  <si>
    <t xml:space="preserve">Note</t>
  </si>
  <si>
    <t xml:space="preserve">q mid</t>
  </si>
  <si>
    <t xml:space="preserve">Price $</t>
  </si>
  <si>
    <t xml:space="preserve">CARROTS  (price $2,094/bed)</t>
  </si>
  <si>
    <t xml:space="preserve">MESCLUN  (price $2,700/bed)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</si>
</sst>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\$#,##0;&quot;($&quot;#,##0\);\-"/>
    <numFmt numFmtId="167" formatCode="#,##0.0"/>
    <numFmt numFmtId="168" formatCode="0.0%"/>
    <numFmt numFmtId="169" formatCode="\$#,##0.00;&quot;($&quot;#,##0.00\);\-"/>
    <numFmt numFmtId="170" formatCode="0.00"/>
    <numFmt numFmtId="171" formatCode="0.00%"/>
    <numFmt numFmtId="172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5F"/>
        <bgColor rgb="FF333333"/>
      </patternFill>
    </fill>
    <fill>
      <patternFill patternType="solid">
        <fgColor rgb="FFD5E8F0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992"/>
      <rgbColor rgb="FF878787"/>
      <rgbColor rgb="FF9999FF"/>
      <rgbColor rgb="FF993366"/>
      <rgbColor rgb="FFFFFFCC"/>
      <rgbColor rgb="FFD5E8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7A44B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Tomatoes: marginal cost vs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"Marginal cost"</c:f>
              <c:strCache>
                <c:ptCount val="1"/>
                <c:pt idx="0">
                  <c:v>Marginal cost</c:v>
                </c:pt>
              </c:strCache>
            </c:strRef>
          </c:tx>
          <c:spPr>
            <a:solidFill>
              <a:srgbClr val="87A44B"/>
            </a:solidFill>
            <a:ln w="12600">
              <a:solidFill>
                <a:srgbClr val="87A44B"/>
              </a:solidFill>
              <a:round/>
            </a:ln>
          </c:spPr>
          <c:marker>
            <c:symbol val="circle"/>
            <c:size val="5"/>
            <c:spPr>
              <a:solidFill>
                <a:srgbClr val="87A44B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'MC Schedules'!$O$7:$O$26</c:f>
              <c:numCache>
                <c:formatCode>0.0</c:formatCode>
                <c:ptCount val="2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</c:numCache>
            </c:numRef>
          </c:xVal>
          <c:yVal>
            <c:numRef>
              <c:f>'MC Schedules'!$K$7:$K$26</c:f>
              <c:numCache>
                <c:formatCode>\$#,##0;"($"#,##0\);\-</c:formatCode>
                <c:ptCount val="20"/>
                <c:pt idx="0">
                  <c:v>4317.5</c:v>
                </c:pt>
                <c:pt idx="1">
                  <c:v>5005</c:v>
                </c:pt>
                <c:pt idx="2">
                  <c:v>5795.625</c:v>
                </c:pt>
                <c:pt idx="3">
                  <c:v>6703.125</c:v>
                </c:pt>
                <c:pt idx="4">
                  <c:v>7660.859375</c:v>
                </c:pt>
                <c:pt idx="5">
                  <c:v>4906.27500000001</c:v>
                </c:pt>
                <c:pt idx="6">
                  <c:v>5585.70890625</c:v>
                </c:pt>
                <c:pt idx="7">
                  <c:v>6360.76684375001</c:v>
                </c:pt>
                <c:pt idx="8">
                  <c:v>7243.77927968752</c:v>
                </c:pt>
                <c:pt idx="9">
                  <c:v>8248.58653437501</c:v>
                </c:pt>
                <c:pt idx="10">
                  <c:v>9390.71744720312</c:v>
                </c:pt>
                <c:pt idx="11">
                  <c:v>10687.5886772532</c:v>
                </c:pt>
                <c:pt idx="12">
                  <c:v>12158.7269788411</c:v>
                </c:pt>
                <c:pt idx="13">
                  <c:v>13826.0170539742</c:v>
                </c:pt>
                <c:pt idx="14">
                  <c:v>15713.9778743454</c:v>
                </c:pt>
                <c:pt idx="15">
                  <c:v>17850.0706882511</c:v>
                </c:pt>
                <c:pt idx="16">
                  <c:v>20265.0422861946</c:v>
                </c:pt>
                <c:pt idx="17">
                  <c:v>22993.3074968441</c:v>
                </c:pt>
                <c:pt idx="18">
                  <c:v>26073.3753267617</c:v>
                </c:pt>
                <c:pt idx="19">
                  <c:v>29548.3236476944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"Price"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rgbClr val="B3C992"/>
            </a:solidFill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'MC Schedules'!$O$7:$O$26</c:f>
              <c:numCache>
                <c:formatCode>0.0</c:formatCode>
                <c:ptCount val="2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</c:numCache>
            </c:numRef>
          </c:xVal>
          <c:yVal>
            <c:numRef>
              <c:f>'MC Schedules'!$P$7:$P$26</c:f>
              <c:numCache>
                <c:formatCode>\$#,##0;"($"#,##0\);\-</c:formatCode>
                <c:ptCount val="20"/>
                <c:pt idx="0">
                  <c:v>8800</c:v>
                </c:pt>
                <c:pt idx="1">
                  <c:v>8800</c:v>
                </c:pt>
                <c:pt idx="2">
                  <c:v>8800</c:v>
                </c:pt>
                <c:pt idx="3">
                  <c:v>8800</c:v>
                </c:pt>
                <c:pt idx="4">
                  <c:v>8800</c:v>
                </c:pt>
                <c:pt idx="5">
                  <c:v>8800</c:v>
                </c:pt>
                <c:pt idx="6">
                  <c:v>8800</c:v>
                </c:pt>
                <c:pt idx="7">
                  <c:v>8800</c:v>
                </c:pt>
                <c:pt idx="8">
                  <c:v>8800</c:v>
                </c:pt>
                <c:pt idx="9">
                  <c:v>8800</c:v>
                </c:pt>
                <c:pt idx="10">
                  <c:v>8800</c:v>
                </c:pt>
                <c:pt idx="11">
                  <c:v>8800</c:v>
                </c:pt>
                <c:pt idx="12">
                  <c:v>8800</c:v>
                </c:pt>
                <c:pt idx="13">
                  <c:v>8800</c:v>
                </c:pt>
                <c:pt idx="14">
                  <c:v>8800</c:v>
                </c:pt>
                <c:pt idx="15">
                  <c:v>8800</c:v>
                </c:pt>
                <c:pt idx="16">
                  <c:v>8800</c:v>
                </c:pt>
                <c:pt idx="17">
                  <c:v>8800</c:v>
                </c:pt>
                <c:pt idx="18">
                  <c:v>8800</c:v>
                </c:pt>
                <c:pt idx="19">
                  <c:v>8800</c:v>
                </c:pt>
              </c:numCache>
            </c:numRef>
          </c:yVal>
          <c:smooth val="1"/>
        </c:ser>
        <c:axId val="36313436"/>
        <c:axId val="57265722"/>
      </c:scatterChart>
      <c:valAx>
        <c:axId val="36313436"/>
        <c:scaling>
          <c:orientation val="minMax"/>
        </c:scaling>
        <c:delete val="1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Beds (midpoint)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265722"/>
        <c:crossBetween val="midCat"/>
      </c:valAx>
      <c:valAx>
        <c:axId val="57265722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 per bed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313436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Carrots: marginal cost vs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"Marginal cost"</c:f>
              <c:strCache>
                <c:ptCount val="1"/>
                <c:pt idx="0">
                  <c:v>Marginal cost</c:v>
                </c:pt>
              </c:strCache>
            </c:strRef>
          </c:tx>
          <c:spPr>
            <a:solidFill>
              <a:srgbClr val="87A44B"/>
            </a:solidFill>
            <a:ln w="12600">
              <a:solidFill>
                <a:srgbClr val="87A44B"/>
              </a:solidFill>
              <a:round/>
            </a:ln>
          </c:spPr>
          <c:marker>
            <c:symbol val="circle"/>
            <c:size val="5"/>
            <c:spPr>
              <a:solidFill>
                <a:srgbClr val="87A44B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'MC Schedules'!$O$32:$O$51</c:f>
              <c:numCache>
                <c:formatCode>0.0</c:formatCode>
                <c:ptCount val="2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</c:numCache>
            </c:numRef>
          </c:xVal>
          <c:yVal>
            <c:numRef>
              <c:f>'MC Schedules'!$K$32:$K$51</c:f>
              <c:numCache>
                <c:formatCode>\$#,##0;"($"#,##0\);\-</c:formatCode>
                <c:ptCount val="20"/>
                <c:pt idx="0">
                  <c:v>1507.70833333333</c:v>
                </c:pt>
                <c:pt idx="1">
                  <c:v>1561.09375</c:v>
                </c:pt>
                <c:pt idx="2">
                  <c:v>1616.48111979167</c:v>
                </c:pt>
                <c:pt idx="3">
                  <c:v>1673.93717447916</c:v>
                </c:pt>
                <c:pt idx="4">
                  <c:v>1733.53073120117</c:v>
                </c:pt>
                <c:pt idx="5">
                  <c:v>1795.33275502523</c:v>
                </c:pt>
                <c:pt idx="6">
                  <c:v>1859.41642333349</c:v>
                </c:pt>
                <c:pt idx="7">
                  <c:v>1925.85719208526</c:v>
                </c:pt>
                <c:pt idx="8">
                  <c:v>1994.73286401005</c:v>
                </c:pt>
                <c:pt idx="9">
                  <c:v>2066.12365878602</c:v>
                </c:pt>
                <c:pt idx="10">
                  <c:v>2140.11228526079</c:v>
                </c:pt>
                <c:pt idx="11">
                  <c:v>2216.78401577254</c:v>
                </c:pt>
                <c:pt idx="12">
                  <c:v>2296.2267626316</c:v>
                </c:pt>
                <c:pt idx="13">
                  <c:v>2378.53115682377</c:v>
                </c:pt>
                <c:pt idx="14">
                  <c:v>2463.79062899888</c:v>
                </c:pt>
                <c:pt idx="15">
                  <c:v>2552.10149280974</c:v>
                </c:pt>
                <c:pt idx="16">
                  <c:v>1670.90134316265</c:v>
                </c:pt>
                <c:pt idx="17">
                  <c:v>1589.13879099311</c:v>
                </c:pt>
                <c:pt idx="18">
                  <c:v>1638.17531698807</c:v>
                </c:pt>
                <c:pt idx="19">
                  <c:v>1688.9454575384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"Price"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rgbClr val="B3C992"/>
            </a:solidFill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'MC Schedules'!$O$32:$O$51</c:f>
              <c:numCache>
                <c:formatCode>0.0</c:formatCode>
                <c:ptCount val="2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</c:numCache>
            </c:numRef>
          </c:xVal>
          <c:yVal>
            <c:numRef>
              <c:f>'MC Schedules'!$P$32:$P$51</c:f>
              <c:numCache>
                <c:formatCode>\$#,##0;"($"#,##0\);\-</c:formatCode>
                <c:ptCount val="20"/>
                <c:pt idx="0">
                  <c:v>2094</c:v>
                </c:pt>
                <c:pt idx="1">
                  <c:v>2094</c:v>
                </c:pt>
                <c:pt idx="2">
                  <c:v>2094</c:v>
                </c:pt>
                <c:pt idx="3">
                  <c:v>2094</c:v>
                </c:pt>
                <c:pt idx="4">
                  <c:v>2094</c:v>
                </c:pt>
                <c:pt idx="5">
                  <c:v>2094</c:v>
                </c:pt>
                <c:pt idx="6">
                  <c:v>2094</c:v>
                </c:pt>
                <c:pt idx="7">
                  <c:v>2094</c:v>
                </c:pt>
                <c:pt idx="8">
                  <c:v>2094</c:v>
                </c:pt>
                <c:pt idx="9">
                  <c:v>2094</c:v>
                </c:pt>
                <c:pt idx="10">
                  <c:v>2094</c:v>
                </c:pt>
                <c:pt idx="11">
                  <c:v>2094</c:v>
                </c:pt>
                <c:pt idx="12">
                  <c:v>2094</c:v>
                </c:pt>
                <c:pt idx="13">
                  <c:v>2094</c:v>
                </c:pt>
                <c:pt idx="14">
                  <c:v>2094</c:v>
                </c:pt>
                <c:pt idx="15">
                  <c:v>2094</c:v>
                </c:pt>
                <c:pt idx="16">
                  <c:v>2094</c:v>
                </c:pt>
                <c:pt idx="17">
                  <c:v>2094</c:v>
                </c:pt>
                <c:pt idx="18">
                  <c:v>2094</c:v>
                </c:pt>
                <c:pt idx="19">
                  <c:v>2094</c:v>
                </c:pt>
              </c:numCache>
            </c:numRef>
          </c:yVal>
          <c:smooth val="1"/>
        </c:ser>
        <c:axId val="92896781"/>
        <c:axId val="35203230"/>
      </c:scatterChart>
      <c:valAx>
        <c:axId val="92896781"/>
        <c:scaling>
          <c:orientation val="minMax"/>
        </c:scaling>
        <c:delete val="1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Beds (midpoint)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203230"/>
        <c:crossBetween val="midCat"/>
      </c:valAx>
      <c:valAx>
        <c:axId val="35203230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 per bed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896781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Mesclun: marginal cost vs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"Marginal cost"</c:f>
              <c:strCache>
                <c:ptCount val="1"/>
                <c:pt idx="0">
                  <c:v>Marginal cost</c:v>
                </c:pt>
              </c:strCache>
            </c:strRef>
          </c:tx>
          <c:spPr>
            <a:solidFill>
              <a:srgbClr val="87A44B"/>
            </a:solidFill>
            <a:ln w="12600">
              <a:solidFill>
                <a:srgbClr val="87A44B"/>
              </a:solidFill>
              <a:round/>
            </a:ln>
          </c:spPr>
          <c:marker>
            <c:symbol val="circle"/>
            <c:size val="5"/>
            <c:spPr>
              <a:solidFill>
                <a:srgbClr val="87A44B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'MC Schedules'!$O$57:$O$86</c:f>
              <c:numCache>
                <c:formatCode>0.0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'MC Schedules'!$K$57:$K$86</c:f>
              <c:numCache>
                <c:formatCode>\$#,##0;"($"#,##0\);\-</c:formatCode>
                <c:ptCount val="30"/>
                <c:pt idx="0">
                  <c:v>2462.03125</c:v>
                </c:pt>
                <c:pt idx="1">
                  <c:v>2501.58203125</c:v>
                </c:pt>
                <c:pt idx="2">
                  <c:v>2541.87438964844</c:v>
                </c:pt>
                <c:pt idx="3">
                  <c:v>2582.92068481445</c:v>
                </c:pt>
                <c:pt idx="4">
                  <c:v>2624.73346948624</c:v>
                </c:pt>
                <c:pt idx="5">
                  <c:v>2667.3254924178</c:v>
                </c:pt>
                <c:pt idx="6">
                  <c:v>2710.70970131808</c:v>
                </c:pt>
                <c:pt idx="7">
                  <c:v>2754.89924583264</c:v>
                </c:pt>
                <c:pt idx="8">
                  <c:v>2799.90748056925</c:v>
                </c:pt>
                <c:pt idx="9">
                  <c:v>2845.74796816711</c:v>
                </c:pt>
                <c:pt idx="10">
                  <c:v>2892.43448241109</c:v>
                </c:pt>
                <c:pt idx="11">
                  <c:v>2939.98101139112</c:v>
                </c:pt>
                <c:pt idx="12">
                  <c:v>2988.40176070778</c:v>
                </c:pt>
                <c:pt idx="13">
                  <c:v>2522.58109435517</c:v>
                </c:pt>
                <c:pt idx="14">
                  <c:v>1983.96192493309</c:v>
                </c:pt>
                <c:pt idx="15">
                  <c:v>2009.52735898419</c:v>
                </c:pt>
                <c:pt idx="16">
                  <c:v>2035.55943483576</c:v>
                </c:pt>
                <c:pt idx="17">
                  <c:v>2062.06582393381</c:v>
                </c:pt>
                <c:pt idx="18">
                  <c:v>2089.0543165976</c:v>
                </c:pt>
                <c:pt idx="19">
                  <c:v>2116.53282379301</c:v>
                </c:pt>
                <c:pt idx="20">
                  <c:v>2144.50937893131</c:v>
                </c:pt>
                <c:pt idx="21">
                  <c:v>2172.99213969438</c:v>
                </c:pt>
                <c:pt idx="22">
                  <c:v>2201.98938988605</c:v>
                </c:pt>
                <c:pt idx="23">
                  <c:v>2231.50954131069</c:v>
                </c:pt>
                <c:pt idx="24">
                  <c:v>2261.56113567879</c:v>
                </c:pt>
                <c:pt idx="25">
                  <c:v>2292.15284654022</c:v>
                </c:pt>
                <c:pt idx="26">
                  <c:v>2323.29348124578</c:v>
                </c:pt>
                <c:pt idx="27">
                  <c:v>2354.9919829367</c:v>
                </c:pt>
                <c:pt idx="28">
                  <c:v>2387.25743256342</c:v>
                </c:pt>
                <c:pt idx="29">
                  <c:v>2420.09905093351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"Price"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rgbClr val="B3C992"/>
            </a:solidFill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'MC Schedules'!$O$57:$O$86</c:f>
              <c:numCache>
                <c:formatCode>0.0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'MC Schedules'!$P$57:$P$86</c:f>
              <c:numCache>
                <c:formatCode>\$#,##0;"($"#,##0\);\-</c:formatCode>
                <c:ptCount val="30"/>
                <c:pt idx="0">
                  <c:v>2700</c:v>
                </c:pt>
                <c:pt idx="1">
                  <c:v>2700</c:v>
                </c:pt>
                <c:pt idx="2">
                  <c:v>2700</c:v>
                </c:pt>
                <c:pt idx="3">
                  <c:v>2700</c:v>
                </c:pt>
                <c:pt idx="4">
                  <c:v>2700</c:v>
                </c:pt>
                <c:pt idx="5">
                  <c:v>2700</c:v>
                </c:pt>
                <c:pt idx="6">
                  <c:v>2700</c:v>
                </c:pt>
                <c:pt idx="7">
                  <c:v>2700</c:v>
                </c:pt>
                <c:pt idx="8">
                  <c:v>2700</c:v>
                </c:pt>
                <c:pt idx="9">
                  <c:v>2700</c:v>
                </c:pt>
                <c:pt idx="10">
                  <c:v>2700</c:v>
                </c:pt>
                <c:pt idx="11">
                  <c:v>2700</c:v>
                </c:pt>
                <c:pt idx="12">
                  <c:v>2700</c:v>
                </c:pt>
                <c:pt idx="13">
                  <c:v>2700</c:v>
                </c:pt>
                <c:pt idx="14">
                  <c:v>2700</c:v>
                </c:pt>
                <c:pt idx="15">
                  <c:v>2700</c:v>
                </c:pt>
                <c:pt idx="16">
                  <c:v>2700</c:v>
                </c:pt>
                <c:pt idx="17">
                  <c:v>2700</c:v>
                </c:pt>
                <c:pt idx="18">
                  <c:v>2700</c:v>
                </c:pt>
                <c:pt idx="19">
                  <c:v>2700</c:v>
                </c:pt>
                <c:pt idx="20">
                  <c:v>2700</c:v>
                </c:pt>
                <c:pt idx="21">
                  <c:v>2700</c:v>
                </c:pt>
                <c:pt idx="22">
                  <c:v>2700</c:v>
                </c:pt>
                <c:pt idx="23">
                  <c:v>2700</c:v>
                </c:pt>
                <c:pt idx="24">
                  <c:v>2700</c:v>
                </c:pt>
                <c:pt idx="25">
                  <c:v>2700</c:v>
                </c:pt>
                <c:pt idx="26">
                  <c:v>2700</c:v>
                </c:pt>
                <c:pt idx="27">
                  <c:v>2700</c:v>
                </c:pt>
                <c:pt idx="28">
                  <c:v>2700</c:v>
                </c:pt>
                <c:pt idx="29">
                  <c:v>2700</c:v>
                </c:pt>
              </c:numCache>
            </c:numRef>
          </c:yVal>
          <c:smooth val="1"/>
        </c:ser>
        <c:axId val="73097503"/>
        <c:axId val="26138366"/>
      </c:scatterChart>
      <c:valAx>
        <c:axId val="73097503"/>
        <c:scaling>
          <c:orientation val="minMax"/>
        </c:scaling>
        <c:delete val="1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Beds (midpoint)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138366"/>
        <c:crossBetween val="midCat"/>
      </c:valAx>
      <c:valAx>
        <c:axId val="26138366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 per bed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097503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0</xdr:colOff>
      <xdr:row>3</xdr:row>
      <xdr:rowOff>0</xdr:rowOff>
    </xdr:from>
    <xdr:to>
      <xdr:col>26</xdr:col>
      <xdr:colOff>39240</xdr:colOff>
      <xdr:row>18</xdr:row>
      <xdr:rowOff>164880</xdr:rowOff>
    </xdr:to>
    <xdr:graphicFrame>
      <xdr:nvGraphicFramePr>
        <xdr:cNvPr id="1" name="Chart 1"/>
        <xdr:cNvGraphicFramePr/>
      </xdr:nvGraphicFramePr>
      <xdr:xfrm>
        <a:off x="12084840" y="58212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0</xdr:colOff>
      <xdr:row>28</xdr:row>
      <xdr:rowOff>0</xdr:rowOff>
    </xdr:from>
    <xdr:to>
      <xdr:col>26</xdr:col>
      <xdr:colOff>39240</xdr:colOff>
      <xdr:row>43</xdr:row>
      <xdr:rowOff>164880</xdr:rowOff>
    </xdr:to>
    <xdr:graphicFrame>
      <xdr:nvGraphicFramePr>
        <xdr:cNvPr id="2" name="Chart 2"/>
        <xdr:cNvGraphicFramePr/>
      </xdr:nvGraphicFramePr>
      <xdr:xfrm>
        <a:off x="12084840" y="510660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0</xdr:colOff>
      <xdr:row>53</xdr:row>
      <xdr:rowOff>0</xdr:rowOff>
    </xdr:from>
    <xdr:to>
      <xdr:col>26</xdr:col>
      <xdr:colOff>39240</xdr:colOff>
      <xdr:row>68</xdr:row>
      <xdr:rowOff>164880</xdr:rowOff>
    </xdr:to>
    <xdr:graphicFrame>
      <xdr:nvGraphicFramePr>
        <xdr:cNvPr id="3" name="Chart 3"/>
        <xdr:cNvGraphicFramePr/>
      </xdr:nvGraphicFramePr>
      <xdr:xfrm>
        <a:off x="12084840" y="96310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1" t="s">
        <v>0</v>
      </c>
    </row>
    <row r="4" customFormat="false" ht="14.25" hidden="false" customHeight="false" outlineLevel="0" collapsed="false">
      <c r="B4" s="2" t="s">
        <v>1</v>
      </c>
    </row>
    <row r="5" customFormat="false" ht="35" hidden="false" customHeight="false" outlineLevel="0" collapsed="false">
      <c r="B5" s="3" t="s">
        <v>2</v>
      </c>
    </row>
    <row r="7" customFormat="false" ht="14.25" hidden="false" customHeight="false" outlineLevel="0" collapsed="false">
      <c r="B7" s="2" t="s">
        <v>3</v>
      </c>
    </row>
    <row r="8" customFormat="false" ht="14.25" hidden="false" customHeight="false" outlineLevel="0" collapsed="false">
      <c r="B8" s="3" t="s">
        <v>4</v>
      </c>
    </row>
    <row r="9" customFormat="false" ht="24" hidden="false" customHeight="false" outlineLevel="0" collapsed="false">
      <c r="B9" s="3" t="s">
        <v>5</v>
      </c>
    </row>
    <row r="10" customFormat="false" ht="24" hidden="false" customHeight="false" outlineLevel="0" collapsed="false">
      <c r="B10" s="3" t="s">
        <v>6</v>
      </c>
    </row>
    <row r="11" customFormat="false" ht="46" hidden="false" customHeight="false" outlineLevel="0" collapsed="false">
      <c r="B11" s="3" t="s">
        <v>7</v>
      </c>
    </row>
    <row r="12" customFormat="false" ht="24" hidden="false" customHeight="false" outlineLevel="0" collapsed="false">
      <c r="B12" s="3" t="s">
        <v>8</v>
      </c>
    </row>
    <row r="14" customFormat="false" ht="14.25" hidden="false" customHeight="false" outlineLevel="0" collapsed="false">
      <c r="B14" s="2" t="s">
        <v>9</v>
      </c>
    </row>
    <row r="15" customFormat="false" ht="35" hidden="false" customHeight="false" outlineLevel="0" collapsed="false">
      <c r="B15" s="3" t="s">
        <v>10</v>
      </c>
    </row>
    <row r="16" customFormat="false" ht="24" hidden="false" customHeight="false" outlineLevel="0" collapsed="false">
      <c r="B16" s="3" t="s">
        <v>11</v>
      </c>
    </row>
    <row r="17" customFormat="false" ht="24" hidden="false" customHeight="false" outlineLevel="0" collapsed="false">
      <c r="B17" s="3" t="s">
        <v>12</v>
      </c>
    </row>
    <row r="18" customFormat="false" ht="24" hidden="false" customHeight="false" outlineLevel="0" collapsed="false">
      <c r="B18" s="3" t="s">
        <v>13</v>
      </c>
    </row>
    <row r="20" customFormat="false" ht="14.25" hidden="false" customHeight="false" outlineLevel="0" collapsed="false">
      <c r="B20" s="2" t="s">
        <v>14</v>
      </c>
    </row>
    <row r="21" customFormat="false" ht="14.25" hidden="false" customHeight="false" outlineLevel="0" collapsed="false">
      <c r="B21" s="4" t="s">
        <v>15</v>
      </c>
    </row>
    <row r="22" customFormat="false" ht="14.25" hidden="false" customHeight="false" outlineLevel="0" collapsed="false">
      <c r="B22" s="3" t="s">
        <v>16</v>
      </c>
    </row>
    <row r="23" customFormat="false" ht="14.25" hidden="false" customHeight="false" outlineLevel="0" collapsed="false">
      <c r="B23" s="5" t="s">
        <v>17</v>
      </c>
    </row>
    <row r="25" customFormat="false" ht="14.25" hidden="false" customHeight="false" outlineLevel="0" collapsed="false">
      <c r="B25" s="2" t="s">
        <v>18</v>
      </c>
    </row>
    <row r="26" customFormat="false" ht="24" hidden="false" customHeight="false" outlineLevel="0" collapsed="false">
      <c r="B26" s="3" t="s">
        <v>19</v>
      </c>
    </row>
    <row r="27" customFormat="false" ht="24" hidden="false" customHeight="false" outlineLevel="0" collapsed="false">
      <c r="B27" s="3" t="s">
        <v>20</v>
      </c>
    </row>
    <row r="28" customFormat="false" ht="14.25" hidden="false" customHeight="false" outlineLevel="0" collapsed="false">
      <c r="B28" s="3" t="s">
        <v>21</v>
      </c>
    </row>
    <row r="29" customFormat="false" ht="14.25" hidden="false" customHeight="false" outlineLevel="0" collapsed="false">
      <c r="B29" s="3" t="s">
        <v>22</v>
      </c>
    </row>
    <row r="30" customFormat="false" ht="14.25" hidden="false" customHeight="false" outlineLevel="0" collapsed="false">
      <c r="B30" s="3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9" min="3" style="0" width="14"/>
    <col collapsed="false" customWidth="true" hidden="false" outlineLevel="0" max="10" min="10" style="0" width="16"/>
  </cols>
  <sheetData>
    <row r="2" customFormat="false" ht="17.35" hidden="false" customHeight="false" outlineLevel="0" collapsed="false">
      <c r="B2" s="1" t="s">
        <v>24</v>
      </c>
    </row>
    <row r="4" customFormat="false" ht="14.25" hidden="false" customHeight="false" outlineLevel="0" collapsed="false">
      <c r="B4" s="6" t="s">
        <v>25</v>
      </c>
      <c r="C4" s="7"/>
      <c r="D4" s="7"/>
      <c r="E4" s="7"/>
      <c r="F4" s="7"/>
    </row>
    <row r="5" customFormat="false" ht="14.25" hidden="false" customHeight="false" outlineLevel="0" collapsed="false">
      <c r="B5" s="8" t="s">
        <v>26</v>
      </c>
      <c r="C5" s="9" t="n">
        <v>36</v>
      </c>
    </row>
    <row r="6" customFormat="false" ht="14.25" hidden="false" customHeight="false" outlineLevel="0" collapsed="false">
      <c r="B6" s="8" t="s">
        <v>27</v>
      </c>
      <c r="C6" s="10" t="n">
        <v>20000</v>
      </c>
    </row>
    <row r="7" customFormat="false" ht="14.25" hidden="false" customHeight="false" outlineLevel="0" collapsed="false">
      <c r="B7" s="8" t="s">
        <v>28</v>
      </c>
      <c r="C7" s="9" t="n">
        <v>40</v>
      </c>
    </row>
    <row r="8" customFormat="false" ht="14.25" hidden="false" customHeight="false" outlineLevel="0" collapsed="false">
      <c r="B8" s="8" t="s">
        <v>29</v>
      </c>
      <c r="C8" s="11" t="n">
        <f aca="false">season_wks*labor_hrs_week</f>
        <v>1440</v>
      </c>
    </row>
    <row r="10" customFormat="false" ht="14.25" hidden="false" customHeight="false" outlineLevel="0" collapsed="false">
      <c r="B10" s="12" t="s">
        <v>30</v>
      </c>
      <c r="C10" s="12" t="s">
        <v>31</v>
      </c>
      <c r="D10" s="12" t="s">
        <v>32</v>
      </c>
      <c r="E10" s="12" t="s">
        <v>33</v>
      </c>
      <c r="F10" s="12" t="s">
        <v>34</v>
      </c>
    </row>
    <row r="11" customFormat="false" ht="14.25" hidden="false" customHeight="false" outlineLevel="0" collapsed="false">
      <c r="B11" s="8" t="s">
        <v>35</v>
      </c>
      <c r="C11" s="10" t="n">
        <v>50000</v>
      </c>
      <c r="D11" s="13" t="n">
        <v>0.5</v>
      </c>
      <c r="E11" s="14" t="n">
        <f aca="false">C11/labor_hrs_season</f>
        <v>34.7222222222222</v>
      </c>
      <c r="F11" s="11" t="n">
        <f aca="false">labor_hrs_season*D11</f>
        <v>720</v>
      </c>
    </row>
    <row r="12" customFormat="false" ht="14.25" hidden="false" customHeight="false" outlineLevel="0" collapsed="false">
      <c r="B12" s="8" t="s">
        <v>36</v>
      </c>
      <c r="C12" s="10" t="n">
        <v>25000</v>
      </c>
      <c r="D12" s="13" t="n">
        <v>1</v>
      </c>
      <c r="E12" s="14" t="n">
        <f aca="false">C12/labor_hrs_season</f>
        <v>17.3611111111111</v>
      </c>
      <c r="F12" s="11" t="n">
        <f aca="false">labor_hrs_season*D12</f>
        <v>1440</v>
      </c>
    </row>
    <row r="14" customFormat="false" ht="14.25" hidden="false" customHeight="false" outlineLevel="0" collapsed="false">
      <c r="B14" s="6" t="s">
        <v>37</v>
      </c>
      <c r="C14" s="7"/>
    </row>
    <row r="15" customFormat="false" ht="14.25" hidden="false" customHeight="false" outlineLevel="0" collapsed="false">
      <c r="B15" s="8" t="s">
        <v>38</v>
      </c>
      <c r="C15" s="9" t="n">
        <v>64</v>
      </c>
    </row>
    <row r="16" customFormat="false" ht="14.25" hidden="false" customHeight="false" outlineLevel="0" collapsed="false">
      <c r="B16" s="8" t="s">
        <v>39</v>
      </c>
      <c r="C16" s="9" t="n">
        <v>4</v>
      </c>
    </row>
    <row r="18" customFormat="false" ht="14.25" hidden="false" customHeight="false" outlineLevel="0" collapsed="false">
      <c r="B18" s="6" t="s">
        <v>40</v>
      </c>
      <c r="C18" s="7"/>
      <c r="D18" s="7"/>
      <c r="E18" s="7"/>
      <c r="F18" s="7"/>
      <c r="G18" s="7"/>
    </row>
    <row r="19" customFormat="false" ht="24" hidden="false" customHeight="false" outlineLevel="0" collapsed="false">
      <c r="B19" s="15" t="s">
        <v>41</v>
      </c>
      <c r="C19" s="15" t="s">
        <v>42</v>
      </c>
      <c r="D19" s="15" t="s">
        <v>43</v>
      </c>
      <c r="E19" s="15" t="s">
        <v>44</v>
      </c>
      <c r="F19" s="15" t="s">
        <v>45</v>
      </c>
      <c r="G19" s="15" t="s">
        <v>46</v>
      </c>
    </row>
    <row r="20" customFormat="false" ht="14.25" hidden="false" customHeight="false" outlineLevel="0" collapsed="false">
      <c r="B20" s="8" t="s">
        <v>47</v>
      </c>
      <c r="C20" s="9" t="n">
        <v>20</v>
      </c>
      <c r="D20" s="10" t="n">
        <v>8800</v>
      </c>
      <c r="E20" s="16" t="n">
        <v>2.5</v>
      </c>
      <c r="F20" s="10" t="n">
        <v>880</v>
      </c>
      <c r="G20" s="17" t="n">
        <v>0.1</v>
      </c>
      <c r="H20" s="8" t="s">
        <v>48</v>
      </c>
    </row>
    <row r="21" customFormat="false" ht="14.25" hidden="false" customHeight="false" outlineLevel="0" collapsed="false">
      <c r="B21" s="8" t="s">
        <v>49</v>
      </c>
      <c r="C21" s="9" t="n">
        <v>20</v>
      </c>
      <c r="D21" s="10" t="n">
        <v>2094</v>
      </c>
      <c r="E21" s="18" t="n">
        <f aca="false">E20/3</f>
        <v>0.833333333333333</v>
      </c>
      <c r="F21" s="10" t="n">
        <v>440</v>
      </c>
      <c r="G21" s="17" t="n">
        <v>0.025</v>
      </c>
    </row>
    <row r="22" customFormat="false" ht="14.25" hidden="false" customHeight="false" outlineLevel="0" collapsed="false">
      <c r="B22" s="8" t="s">
        <v>50</v>
      </c>
      <c r="C22" s="9" t="n">
        <v>30</v>
      </c>
      <c r="D22" s="10" t="n">
        <v>2700</v>
      </c>
      <c r="E22" s="18" t="n">
        <f aca="false">E20/2</f>
        <v>1.25</v>
      </c>
      <c r="F22" s="10" t="n">
        <v>880</v>
      </c>
      <c r="G22" s="17" t="n">
        <v>0.0125</v>
      </c>
    </row>
    <row r="24" customFormat="false" ht="14.25" hidden="false" customHeight="false" outlineLevel="0" collapsed="false">
      <c r="B24" s="6" t="s">
        <v>51</v>
      </c>
      <c r="C24" s="7"/>
      <c r="D24" s="7"/>
      <c r="E24" s="7"/>
    </row>
    <row r="25" customFormat="false" ht="14.25" hidden="false" customHeight="false" outlineLevel="0" collapsed="false">
      <c r="B25" s="12" t="s">
        <v>41</v>
      </c>
      <c r="C25" s="12" t="s">
        <v>52</v>
      </c>
      <c r="D25" s="12" t="s">
        <v>53</v>
      </c>
      <c r="E25" s="12" t="s">
        <v>54</v>
      </c>
    </row>
    <row r="26" customFormat="false" ht="14.25" hidden="false" customHeight="false" outlineLevel="0" collapsed="false">
      <c r="B26" s="8" t="s">
        <v>47</v>
      </c>
      <c r="C26" s="19" t="n">
        <v>0</v>
      </c>
      <c r="D26" s="20" t="n">
        <f aca="false">max_tomato</f>
        <v>20</v>
      </c>
      <c r="E26" s="8" t="str">
        <f aca="false">IF(C26&gt;max_tomato,"OVER MAX","ok")</f>
        <v>ok</v>
      </c>
    </row>
    <row r="27" customFormat="false" ht="14.25" hidden="false" customHeight="false" outlineLevel="0" collapsed="false">
      <c r="B27" s="8" t="s">
        <v>49</v>
      </c>
      <c r="C27" s="19" t="n">
        <v>0</v>
      </c>
      <c r="D27" s="20" t="n">
        <f aca="false">max_carrot</f>
        <v>20</v>
      </c>
      <c r="E27" s="8" t="str">
        <f aca="false">IF(C27&gt;max_carrot,"OVER MAX","ok")</f>
        <v>ok</v>
      </c>
    </row>
    <row r="28" customFormat="false" ht="14.25" hidden="false" customHeight="false" outlineLevel="0" collapsed="false">
      <c r="B28" s="8" t="s">
        <v>50</v>
      </c>
      <c r="C28" s="19" t="n">
        <v>0</v>
      </c>
      <c r="D28" s="20" t="n">
        <f aca="false">max_mesclun</f>
        <v>30</v>
      </c>
      <c r="E28" s="8" t="str">
        <f aca="false">IF(C28&gt;max_mesclun,"OVER MAX","ok")</f>
        <v>ok</v>
      </c>
    </row>
    <row r="30" customFormat="false" ht="14.25" hidden="false" customHeight="false" outlineLevel="0" collapsed="false">
      <c r="B30" s="6" t="s">
        <v>55</v>
      </c>
      <c r="C30" s="7"/>
      <c r="D30" s="7"/>
      <c r="E30" s="7"/>
      <c r="F30" s="7"/>
      <c r="G30" s="7"/>
      <c r="H30" s="7"/>
    </row>
    <row r="31" customFormat="false" ht="14.25" hidden="false" customHeight="false" outlineLevel="0" collapsed="false">
      <c r="B31" s="12" t="s">
        <v>41</v>
      </c>
      <c r="C31" s="12" t="s">
        <v>52</v>
      </c>
      <c r="D31" s="12" t="s">
        <v>56</v>
      </c>
      <c r="E31" s="12" t="s">
        <v>57</v>
      </c>
      <c r="F31" s="12" t="s">
        <v>58</v>
      </c>
      <c r="G31" s="12" t="s">
        <v>59</v>
      </c>
      <c r="H31" s="12" t="s">
        <v>60</v>
      </c>
    </row>
    <row r="32" customFormat="false" ht="14.25" hidden="false" customHeight="false" outlineLevel="0" collapsed="false">
      <c r="B32" s="8" t="s">
        <v>47</v>
      </c>
      <c r="C32" s="20" t="n">
        <f aca="false">q_tomato</f>
        <v>0</v>
      </c>
      <c r="D32" s="21" t="n">
        <f aca="false">q_tomato*price_tomato</f>
        <v>0</v>
      </c>
      <c r="E32" s="11" t="n">
        <f aca="false">q_tomato*laborwk_tomato*season_wks*(1+dim_tomato)^q_tomato</f>
        <v>0</v>
      </c>
      <c r="F32" s="21" t="n">
        <f aca="false">IF(hrs_total=0,0,E32*labor_cost_total/hrs_total)</f>
        <v>0</v>
      </c>
      <c r="G32" s="21" t="n">
        <f aca="false">q_tomato*fert_tomato</f>
        <v>0</v>
      </c>
      <c r="H32" s="21" t="n">
        <f aca="false">F32+G32</f>
        <v>0</v>
      </c>
    </row>
    <row r="33" customFormat="false" ht="14.25" hidden="false" customHeight="false" outlineLevel="0" collapsed="false">
      <c r="B33" s="8" t="s">
        <v>49</v>
      </c>
      <c r="C33" s="20" t="n">
        <f aca="false">q_carrot</f>
        <v>0</v>
      </c>
      <c r="D33" s="21" t="n">
        <f aca="false">q_carrot*price_carrot</f>
        <v>0</v>
      </c>
      <c r="E33" s="11" t="n">
        <f aca="false">q_carrot*laborwk_carrot*season_wks*(1+dim_carrot)^q_carrot</f>
        <v>0</v>
      </c>
      <c r="F33" s="21" t="n">
        <f aca="false">IF(hrs_total=0,0,E33*labor_cost_total/hrs_total)</f>
        <v>0</v>
      </c>
      <c r="G33" s="21" t="n">
        <f aca="false">q_carrot*fert_carrot</f>
        <v>0</v>
      </c>
      <c r="H33" s="21" t="n">
        <f aca="false">F33+G33</f>
        <v>0</v>
      </c>
    </row>
    <row r="34" customFormat="false" ht="14.25" hidden="false" customHeight="false" outlineLevel="0" collapsed="false">
      <c r="B34" s="8" t="s">
        <v>50</v>
      </c>
      <c r="C34" s="20" t="n">
        <f aca="false">q_mesclun</f>
        <v>0</v>
      </c>
      <c r="D34" s="21" t="n">
        <f aca="false">q_mesclun*price_mesclun</f>
        <v>0</v>
      </c>
      <c r="E34" s="11" t="n">
        <f aca="false">q_mesclun*laborwk_mesclun*season_wks*(1+dim_mesclun)^q_mesclun</f>
        <v>0</v>
      </c>
      <c r="F34" s="21" t="n">
        <f aca="false">IF(hrs_total=0,0,E34*labor_cost_total/hrs_total)</f>
        <v>0</v>
      </c>
      <c r="G34" s="21" t="n">
        <f aca="false">q_mesclun*fert_mesclun</f>
        <v>0</v>
      </c>
      <c r="H34" s="21" t="n">
        <f aca="false">F34+G34</f>
        <v>0</v>
      </c>
    </row>
    <row r="35" customFormat="false" ht="14.25" hidden="false" customHeight="false" outlineLevel="0" collapsed="false">
      <c r="B35" s="22" t="s">
        <v>61</v>
      </c>
      <c r="C35" s="23" t="n">
        <f aca="false">SUM(C32:C34)</f>
        <v>0</v>
      </c>
      <c r="D35" s="24" t="n">
        <f aca="false">SUM(D32:D34)</f>
        <v>0</v>
      </c>
      <c r="E35" s="25" t="n">
        <f aca="false">SUM(E32:E34)</f>
        <v>0</v>
      </c>
      <c r="F35" s="24" t="n">
        <f aca="false">labor_cost_total</f>
        <v>0</v>
      </c>
      <c r="G35" s="24" t="n">
        <f aca="false">SUM(G32:G34)</f>
        <v>0</v>
      </c>
      <c r="H35" s="24" t="n">
        <f aca="false">SUM(H32:H34)</f>
        <v>0</v>
      </c>
    </row>
    <row r="37" customFormat="false" ht="14.25" hidden="false" customHeight="false" outlineLevel="0" collapsed="false">
      <c r="B37" s="6" t="s">
        <v>62</v>
      </c>
      <c r="C37" s="7"/>
      <c r="D37" s="7"/>
    </row>
    <row r="38" customFormat="false" ht="14.25" hidden="false" customHeight="false" outlineLevel="0" collapsed="false">
      <c r="B38" s="8" t="s">
        <v>63</v>
      </c>
      <c r="C38" s="11" t="n">
        <f aca="false">MIN(perm_field_hrs,hrs_total)</f>
        <v>0</v>
      </c>
    </row>
    <row r="39" customFormat="false" ht="14.25" hidden="false" customHeight="false" outlineLevel="0" collapsed="false">
      <c r="B39" s="8" t="s">
        <v>64</v>
      </c>
      <c r="C39" s="11" t="n">
        <f aca="false">hrs_total-perm_used</f>
        <v>0</v>
      </c>
    </row>
    <row r="40" customFormat="false" ht="14.25" hidden="false" customHeight="false" outlineLevel="0" collapsed="false">
      <c r="B40" s="8" t="s">
        <v>65</v>
      </c>
      <c r="C40" s="18" t="n">
        <f aca="false">temp_hrs/temp_hrs_each</f>
        <v>0</v>
      </c>
      <c r="D40" s="8" t="str">
        <f aca="false">IF(temp_needed&gt;temp_max,"INFEASIBLE — exceeds temp max","ok")</f>
        <v>ok</v>
      </c>
    </row>
    <row r="41" customFormat="false" ht="14.25" hidden="false" customHeight="false" outlineLevel="0" collapsed="false">
      <c r="B41" s="8" t="s">
        <v>66</v>
      </c>
      <c r="C41" s="21" t="n">
        <f aca="false">perm_used*wage_perm+temp_hrs*wage_temp</f>
        <v>0</v>
      </c>
    </row>
    <row r="43" customFormat="false" ht="14.25" hidden="false" customHeight="false" outlineLevel="0" collapsed="false">
      <c r="B43" s="6" t="s">
        <v>67</v>
      </c>
      <c r="C43" s="7"/>
      <c r="D43" s="7"/>
    </row>
    <row r="44" customFormat="false" ht="14.25" hidden="false" customHeight="false" outlineLevel="0" collapsed="false">
      <c r="B44" s="8" t="s">
        <v>68</v>
      </c>
      <c r="C44" s="21" t="n">
        <f aca="false">rev_total</f>
        <v>0</v>
      </c>
    </row>
    <row r="45" customFormat="false" ht="14.25" hidden="false" customHeight="false" outlineLevel="0" collapsed="false">
      <c r="B45" s="8" t="s">
        <v>69</v>
      </c>
      <c r="C45" s="21" t="n">
        <f aca="false">H35</f>
        <v>0</v>
      </c>
    </row>
    <row r="46" customFormat="false" ht="14.25" hidden="false" customHeight="false" outlineLevel="0" collapsed="false">
      <c r="B46" s="8" t="s">
        <v>70</v>
      </c>
      <c r="C46" s="21" t="n">
        <f aca="false">costs_fixed</f>
        <v>20000</v>
      </c>
    </row>
    <row r="47" customFormat="false" ht="14.25" hidden="false" customHeight="false" outlineLevel="0" collapsed="false">
      <c r="B47" s="8" t="s">
        <v>71</v>
      </c>
      <c r="C47" s="21" t="n">
        <f aca="false">C45+C46</f>
        <v>20000</v>
      </c>
    </row>
    <row r="48" customFormat="false" ht="14.25" hidden="false" customHeight="false" outlineLevel="0" collapsed="false">
      <c r="B48" s="22" t="s">
        <v>67</v>
      </c>
      <c r="C48" s="24" t="n">
        <f aca="false">rev_total-costs_total</f>
        <v>-20000</v>
      </c>
    </row>
    <row r="49" customFormat="false" ht="14.25" hidden="false" customHeight="false" outlineLevel="0" collapsed="false">
      <c r="B49" s="8" t="s">
        <v>72</v>
      </c>
      <c r="C49" s="8" t="str">
        <f aca="false">IF(beds_total&gt;beds_max,"OVER 64 BEDS","ok")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1"/>
    <col collapsed="false" customWidth="true" hidden="false" outlineLevel="0" max="5" min="4" style="0" width="10"/>
    <col collapsed="false" customWidth="true" hidden="false" outlineLevel="0" max="6" min="6" style="0" width="8"/>
    <col collapsed="false" customWidth="true" hidden="false" outlineLevel="0" max="8" min="7" style="0" width="11"/>
    <col collapsed="false" customWidth="true" hidden="false" outlineLevel="0" max="10" min="9" style="0" width="12"/>
    <col collapsed="false" customWidth="true" hidden="false" outlineLevel="0" max="12" min="11" style="0" width="11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false" outlineLevel="0" max="15" min="15" style="0" width="9"/>
    <col collapsed="false" customWidth="true" hidden="false" outlineLevel="0" max="16" min="16" style="0" width="11"/>
  </cols>
  <sheetData>
    <row r="2" customFormat="false" ht="17.35" hidden="false" customHeight="false" outlineLevel="0" collapsed="false">
      <c r="B2" s="1" t="s">
        <v>73</v>
      </c>
    </row>
    <row r="4" customFormat="false" ht="14.25" hidden="false" customHeight="false" outlineLevel="0" collapsed="false">
      <c r="B4" s="6" t="s">
        <v>74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customFormat="false" ht="14.25" hidden="false" customHeight="false" outlineLevel="0" collapsed="false">
      <c r="B5" s="12" t="s">
        <v>75</v>
      </c>
      <c r="C5" s="12" t="s">
        <v>57</v>
      </c>
      <c r="D5" s="12" t="s">
        <v>76</v>
      </c>
      <c r="E5" s="12" t="s">
        <v>77</v>
      </c>
      <c r="F5" s="12" t="s">
        <v>78</v>
      </c>
      <c r="G5" s="12" t="s">
        <v>58</v>
      </c>
      <c r="H5" s="12" t="s">
        <v>79</v>
      </c>
      <c r="I5" s="12" t="s">
        <v>60</v>
      </c>
      <c r="J5" s="12" t="s">
        <v>80</v>
      </c>
      <c r="K5" s="12" t="s">
        <v>81</v>
      </c>
      <c r="L5" s="12" t="s">
        <v>82</v>
      </c>
      <c r="M5" s="12" t="s">
        <v>83</v>
      </c>
      <c r="N5" s="12" t="s">
        <v>84</v>
      </c>
      <c r="O5" s="12" t="s">
        <v>85</v>
      </c>
      <c r="P5" s="12" t="s">
        <v>86</v>
      </c>
    </row>
    <row r="6" customFormat="false" ht="14.25" hidden="false" customHeight="false" outlineLevel="0" collapsed="false">
      <c r="B6" s="20" t="n">
        <v>0</v>
      </c>
      <c r="C6" s="11" t="n">
        <f aca="false">B6*laborwk_tomato*season_wks*(1+dim_tomato)^B6</f>
        <v>0</v>
      </c>
      <c r="D6" s="11" t="n">
        <f aca="false">MIN(perm_field_hrs,C6)</f>
        <v>0</v>
      </c>
      <c r="E6" s="11" t="n">
        <f aca="false">C6-D6</f>
        <v>0</v>
      </c>
      <c r="F6" s="18" t="n">
        <f aca="false">E6/temp_hrs_each</f>
        <v>0</v>
      </c>
      <c r="G6" s="21" t="n">
        <f aca="false">D6*wage_perm+E6*wage_temp</f>
        <v>0</v>
      </c>
      <c r="H6" s="21" t="n">
        <f aca="false">B6*fert_tomato</f>
        <v>0</v>
      </c>
      <c r="I6" s="21" t="n">
        <f aca="false">G6+H6</f>
        <v>0</v>
      </c>
      <c r="J6" s="21" t="n">
        <f aca="false">I6+costs_fixed</f>
        <v>20000</v>
      </c>
      <c r="M6" s="21" t="n">
        <f aca="false">B6*price_tomato-J6</f>
        <v>-20000</v>
      </c>
    </row>
    <row r="7" customFormat="false" ht="14.25" hidden="false" customHeight="false" outlineLevel="0" collapsed="false">
      <c r="B7" s="20" t="n">
        <v>1</v>
      </c>
      <c r="C7" s="11" t="n">
        <f aca="false">B7*laborwk_tomato*season_wks*(1+dim_tomato)^B7</f>
        <v>99</v>
      </c>
      <c r="D7" s="11" t="n">
        <f aca="false">MIN(perm_field_hrs,C7)</f>
        <v>99</v>
      </c>
      <c r="E7" s="11" t="n">
        <f aca="false">C7-D7</f>
        <v>0</v>
      </c>
      <c r="F7" s="18" t="n">
        <f aca="false">E7/temp_hrs_each</f>
        <v>0</v>
      </c>
      <c r="G7" s="21" t="n">
        <f aca="false">D7*wage_perm+E7*wage_temp</f>
        <v>3437.5</v>
      </c>
      <c r="H7" s="21" t="n">
        <f aca="false">B7*fert_tomato</f>
        <v>880</v>
      </c>
      <c r="I7" s="21" t="n">
        <f aca="false">G7+H7</f>
        <v>4317.5</v>
      </c>
      <c r="J7" s="21" t="n">
        <f aca="false">I7+costs_fixed</f>
        <v>24317.5</v>
      </c>
      <c r="K7" s="21" t="n">
        <f aca="false">J7-J6</f>
        <v>4317.5</v>
      </c>
      <c r="L7" s="21" t="n">
        <f aca="false">I7/B7</f>
        <v>4317.5</v>
      </c>
      <c r="M7" s="21" t="n">
        <f aca="false">B7*price_tomato-J7</f>
        <v>-15517.5</v>
      </c>
      <c r="N7" s="8" t="str">
        <f aca="false">IF(F7&gt;temp_max,"INFEASIBLE",IF(AND(price_tomato&gt;K7,price_tomato&lt;K8),"&lt;-- P ~ MC",""))</f>
        <v/>
      </c>
      <c r="O7" s="26" t="n">
        <f aca="false">(B7+B6)/2</f>
        <v>0.5</v>
      </c>
      <c r="P7" s="21" t="n">
        <f aca="false">price_tomato</f>
        <v>8800</v>
      </c>
    </row>
    <row r="8" customFormat="false" ht="14.25" hidden="false" customHeight="false" outlineLevel="0" collapsed="false">
      <c r="B8" s="20" t="n">
        <v>2</v>
      </c>
      <c r="C8" s="11" t="n">
        <f aca="false">B8*laborwk_tomato*season_wks*(1+dim_tomato)^B8</f>
        <v>217.8</v>
      </c>
      <c r="D8" s="11" t="n">
        <f aca="false">MIN(perm_field_hrs,C8)</f>
        <v>217.8</v>
      </c>
      <c r="E8" s="11" t="n">
        <f aca="false">C8-D8</f>
        <v>0</v>
      </c>
      <c r="F8" s="18" t="n">
        <f aca="false">E8/temp_hrs_each</f>
        <v>0</v>
      </c>
      <c r="G8" s="21" t="n">
        <f aca="false">D8*wage_perm+E8*wage_temp</f>
        <v>7562.5</v>
      </c>
      <c r="H8" s="21" t="n">
        <f aca="false">B8*fert_tomato</f>
        <v>1760</v>
      </c>
      <c r="I8" s="21" t="n">
        <f aca="false">G8+H8</f>
        <v>9322.5</v>
      </c>
      <c r="J8" s="21" t="n">
        <f aca="false">I8+costs_fixed</f>
        <v>29322.5</v>
      </c>
      <c r="K8" s="21" t="n">
        <f aca="false">J8-J7</f>
        <v>5005</v>
      </c>
      <c r="L8" s="21" t="n">
        <f aca="false">I8/B8</f>
        <v>4661.25</v>
      </c>
      <c r="M8" s="21" t="n">
        <f aca="false">B8*price_tomato-J8</f>
        <v>-11722.5</v>
      </c>
      <c r="N8" s="8" t="str">
        <f aca="false">IF(F8&gt;temp_max,"INFEASIBLE",IF(AND(price_tomato&gt;K8,price_tomato&lt;K9),"&lt;-- P ~ MC",""))</f>
        <v/>
      </c>
      <c r="O8" s="26" t="n">
        <f aca="false">(B8+B7)/2</f>
        <v>1.5</v>
      </c>
      <c r="P8" s="21" t="n">
        <f aca="false">price_tomato</f>
        <v>8800</v>
      </c>
    </row>
    <row r="9" customFormat="false" ht="14.25" hidden="false" customHeight="false" outlineLevel="0" collapsed="false">
      <c r="B9" s="20" t="n">
        <v>3</v>
      </c>
      <c r="C9" s="11" t="n">
        <f aca="false">B9*laborwk_tomato*season_wks*(1+dim_tomato)^B9</f>
        <v>359.37</v>
      </c>
      <c r="D9" s="11" t="n">
        <f aca="false">MIN(perm_field_hrs,C9)</f>
        <v>359.37</v>
      </c>
      <c r="E9" s="11" t="n">
        <f aca="false">C9-D9</f>
        <v>0</v>
      </c>
      <c r="F9" s="18" t="n">
        <f aca="false">E9/temp_hrs_each</f>
        <v>0</v>
      </c>
      <c r="G9" s="21" t="n">
        <f aca="false">D9*wage_perm+E9*wage_temp</f>
        <v>12478.125</v>
      </c>
      <c r="H9" s="21" t="n">
        <f aca="false">B9*fert_tomato</f>
        <v>2640</v>
      </c>
      <c r="I9" s="21" t="n">
        <f aca="false">G9+H9</f>
        <v>15118.125</v>
      </c>
      <c r="J9" s="21" t="n">
        <f aca="false">I9+costs_fixed</f>
        <v>35118.125</v>
      </c>
      <c r="K9" s="21" t="n">
        <f aca="false">J9-J8</f>
        <v>5795.625</v>
      </c>
      <c r="L9" s="21" t="n">
        <f aca="false">I9/B9</f>
        <v>5039.375</v>
      </c>
      <c r="M9" s="21" t="n">
        <f aca="false">B9*price_tomato-J9</f>
        <v>-8718.125</v>
      </c>
      <c r="N9" s="8" t="str">
        <f aca="false">IF(F9&gt;temp_max,"INFEASIBLE",IF(AND(price_tomato&gt;K9,price_tomato&lt;K10),"&lt;-- P ~ MC",""))</f>
        <v/>
      </c>
      <c r="O9" s="26" t="n">
        <f aca="false">(B9+B8)/2</f>
        <v>2.5</v>
      </c>
      <c r="P9" s="21" t="n">
        <f aca="false">price_tomato</f>
        <v>8800</v>
      </c>
    </row>
    <row r="10" customFormat="false" ht="14.25" hidden="false" customHeight="false" outlineLevel="0" collapsed="false">
      <c r="B10" s="20" t="n">
        <v>4</v>
      </c>
      <c r="C10" s="11" t="n">
        <f aca="false">B10*laborwk_tomato*season_wks*(1+dim_tomato)^B10</f>
        <v>527.076</v>
      </c>
      <c r="D10" s="11" t="n">
        <f aca="false">MIN(perm_field_hrs,C10)</f>
        <v>527.076</v>
      </c>
      <c r="E10" s="11" t="n">
        <f aca="false">C10-D10</f>
        <v>0</v>
      </c>
      <c r="F10" s="18" t="n">
        <f aca="false">E10/temp_hrs_each</f>
        <v>0</v>
      </c>
      <c r="G10" s="21" t="n">
        <f aca="false">D10*wage_perm+E10*wage_temp</f>
        <v>18301.25</v>
      </c>
      <c r="H10" s="21" t="n">
        <f aca="false">B10*fert_tomato</f>
        <v>3520</v>
      </c>
      <c r="I10" s="21" t="n">
        <f aca="false">G10+H10</f>
        <v>21821.25</v>
      </c>
      <c r="J10" s="21" t="n">
        <f aca="false">I10+costs_fixed</f>
        <v>41821.25</v>
      </c>
      <c r="K10" s="21" t="n">
        <f aca="false">J10-J9</f>
        <v>6703.125</v>
      </c>
      <c r="L10" s="21" t="n">
        <f aca="false">I10/B10</f>
        <v>5455.3125</v>
      </c>
      <c r="M10" s="21" t="n">
        <f aca="false">B10*price_tomato-J10</f>
        <v>-6621.25</v>
      </c>
      <c r="N10" s="8" t="str">
        <f aca="false">IF(F10&gt;temp_max,"INFEASIBLE",IF(AND(price_tomato&gt;K10,price_tomato&lt;K11),"&lt;-- P ~ MC",""))</f>
        <v/>
      </c>
      <c r="O10" s="26" t="n">
        <f aca="false">(B10+B9)/2</f>
        <v>3.5</v>
      </c>
      <c r="P10" s="21" t="n">
        <f aca="false">price_tomato</f>
        <v>8800</v>
      </c>
    </row>
    <row r="11" customFormat="false" ht="14.25" hidden="false" customHeight="false" outlineLevel="0" collapsed="false">
      <c r="B11" s="20" t="n">
        <v>5</v>
      </c>
      <c r="C11" s="11" t="n">
        <f aca="false">B11*laborwk_tomato*season_wks*(1+dim_tomato)^B11</f>
        <v>724.7295</v>
      </c>
      <c r="D11" s="11" t="n">
        <f aca="false">MIN(perm_field_hrs,C11)</f>
        <v>720</v>
      </c>
      <c r="E11" s="11" t="n">
        <f aca="false">C11-D11</f>
        <v>4.72950000000026</v>
      </c>
      <c r="F11" s="18" t="n">
        <f aca="false">E11/temp_hrs_each</f>
        <v>0.00328437500000018</v>
      </c>
      <c r="G11" s="21" t="n">
        <f aca="false">D11*wage_perm+E11*wage_temp</f>
        <v>25082.109375</v>
      </c>
      <c r="H11" s="21" t="n">
        <f aca="false">B11*fert_tomato</f>
        <v>4400</v>
      </c>
      <c r="I11" s="21" t="n">
        <f aca="false">G11+H11</f>
        <v>29482.109375</v>
      </c>
      <c r="J11" s="21" t="n">
        <f aca="false">I11+costs_fixed</f>
        <v>49482.109375</v>
      </c>
      <c r="K11" s="21" t="n">
        <f aca="false">J11-J10</f>
        <v>7660.859375</v>
      </c>
      <c r="L11" s="21" t="n">
        <f aca="false">I11/B11</f>
        <v>5896.421875</v>
      </c>
      <c r="M11" s="21" t="n">
        <f aca="false">B11*price_tomato-J11</f>
        <v>-5482.109375</v>
      </c>
      <c r="N11" s="8" t="str">
        <f aca="false">IF(F11&gt;temp_max,"INFEASIBLE",IF(AND(price_tomato&gt;K11,price_tomato&lt;K12),"&lt;-- P ~ MC",""))</f>
        <v/>
      </c>
      <c r="O11" s="26" t="n">
        <f aca="false">(B11+B10)/2</f>
        <v>4.5</v>
      </c>
      <c r="P11" s="21" t="n">
        <f aca="false">price_tomato</f>
        <v>8800</v>
      </c>
    </row>
    <row r="12" customFormat="false" ht="14.25" hidden="false" customHeight="false" outlineLevel="0" collapsed="false">
      <c r="B12" s="20" t="n">
        <v>6</v>
      </c>
      <c r="C12" s="11" t="n">
        <f aca="false">B12*laborwk_tomato*season_wks*(1+dim_tomato)^B12</f>
        <v>956.64294</v>
      </c>
      <c r="D12" s="11" t="n">
        <f aca="false">MIN(perm_field_hrs,C12)</f>
        <v>720</v>
      </c>
      <c r="E12" s="11" t="n">
        <f aca="false">C12-D12</f>
        <v>236.64294</v>
      </c>
      <c r="F12" s="18" t="n">
        <f aca="false">E12/temp_hrs_each</f>
        <v>0.164335375</v>
      </c>
      <c r="G12" s="21" t="n">
        <f aca="false">D12*wage_perm+E12*wage_temp</f>
        <v>29108.384375</v>
      </c>
      <c r="H12" s="21" t="n">
        <f aca="false">B12*fert_tomato</f>
        <v>5280</v>
      </c>
      <c r="I12" s="21" t="n">
        <f aca="false">G12+H12</f>
        <v>34388.384375</v>
      </c>
      <c r="J12" s="21" t="n">
        <f aca="false">I12+costs_fixed</f>
        <v>54388.384375</v>
      </c>
      <c r="K12" s="21" t="n">
        <f aca="false">J12-J11</f>
        <v>4906.27500000001</v>
      </c>
      <c r="L12" s="21" t="n">
        <f aca="false">I12/B12</f>
        <v>5731.39739583333</v>
      </c>
      <c r="M12" s="21" t="n">
        <f aca="false">B12*price_tomato-J12</f>
        <v>-1588.38437500001</v>
      </c>
      <c r="N12" s="8" t="str">
        <f aca="false">IF(F12&gt;temp_max,"INFEASIBLE",IF(AND(price_tomato&gt;K12,price_tomato&lt;K13),"&lt;-- P ~ MC",""))</f>
        <v/>
      </c>
      <c r="O12" s="26" t="n">
        <f aca="false">(B12+B11)/2</f>
        <v>5.5</v>
      </c>
      <c r="P12" s="21" t="n">
        <f aca="false">price_tomato</f>
        <v>8800</v>
      </c>
    </row>
    <row r="13" customFormat="false" ht="14.25" hidden="false" customHeight="false" outlineLevel="0" collapsed="false">
      <c r="B13" s="20" t="n">
        <v>7</v>
      </c>
      <c r="C13" s="11" t="n">
        <f aca="false">B13*laborwk_tomato*season_wks*(1+dim_tomato)^B13</f>
        <v>1227.691773</v>
      </c>
      <c r="D13" s="11" t="n">
        <f aca="false">MIN(perm_field_hrs,C13)</f>
        <v>720</v>
      </c>
      <c r="E13" s="11" t="n">
        <f aca="false">C13-D13</f>
        <v>507.691773000001</v>
      </c>
      <c r="F13" s="18" t="n">
        <f aca="false">E13/temp_hrs_each</f>
        <v>0.35256373125</v>
      </c>
      <c r="G13" s="21" t="n">
        <f aca="false">D13*wage_perm+E13*wage_temp</f>
        <v>33814.09328125</v>
      </c>
      <c r="H13" s="21" t="n">
        <f aca="false">B13*fert_tomato</f>
        <v>6160</v>
      </c>
      <c r="I13" s="21" t="n">
        <f aca="false">G13+H13</f>
        <v>39974.09328125</v>
      </c>
      <c r="J13" s="21" t="n">
        <f aca="false">I13+costs_fixed</f>
        <v>59974.09328125</v>
      </c>
      <c r="K13" s="21" t="n">
        <f aca="false">J13-J12</f>
        <v>5585.70890625</v>
      </c>
      <c r="L13" s="21" t="n">
        <f aca="false">I13/B13</f>
        <v>5710.58475446429</v>
      </c>
      <c r="M13" s="21" t="n">
        <f aca="false">B13*price_tomato-J13</f>
        <v>1625.90671874999</v>
      </c>
      <c r="N13" s="8" t="str">
        <f aca="false">IF(F13&gt;temp_max,"INFEASIBLE",IF(AND(price_tomato&gt;K13,price_tomato&lt;K14),"&lt;-- P ~ MC",""))</f>
        <v/>
      </c>
      <c r="O13" s="26" t="n">
        <f aca="false">(B13+B12)/2</f>
        <v>6.5</v>
      </c>
      <c r="P13" s="21" t="n">
        <f aca="false">price_tomato</f>
        <v>8800</v>
      </c>
    </row>
    <row r="14" customFormat="false" ht="14.25" hidden="false" customHeight="false" outlineLevel="0" collapsed="false">
      <c r="B14" s="20" t="n">
        <v>8</v>
      </c>
      <c r="C14" s="11" t="n">
        <f aca="false">B14*laborwk_tomato*season_wks*(1+dim_tomato)^B14</f>
        <v>1543.3839432</v>
      </c>
      <c r="D14" s="11" t="n">
        <f aca="false">MIN(perm_field_hrs,C14)</f>
        <v>720</v>
      </c>
      <c r="E14" s="11" t="n">
        <f aca="false">C14-D14</f>
        <v>823.383943200001</v>
      </c>
      <c r="F14" s="18" t="n">
        <f aca="false">E14/temp_hrs_each</f>
        <v>0.571794405000001</v>
      </c>
      <c r="G14" s="21" t="n">
        <f aca="false">D14*wage_perm+E14*wage_temp</f>
        <v>39294.860125</v>
      </c>
      <c r="H14" s="21" t="n">
        <f aca="false">B14*fert_tomato</f>
        <v>7040</v>
      </c>
      <c r="I14" s="21" t="n">
        <f aca="false">G14+H14</f>
        <v>46334.860125</v>
      </c>
      <c r="J14" s="21" t="n">
        <f aca="false">I14+costs_fixed</f>
        <v>66334.860125</v>
      </c>
      <c r="K14" s="21" t="n">
        <f aca="false">J14-J13</f>
        <v>6360.76684375001</v>
      </c>
      <c r="L14" s="21" t="n">
        <f aca="false">I14/B14</f>
        <v>5791.857515625</v>
      </c>
      <c r="M14" s="21" t="n">
        <f aca="false">B14*price_tomato-J14</f>
        <v>4065.13987499998</v>
      </c>
      <c r="N14" s="8" t="str">
        <f aca="false">IF(F14&gt;temp_max,"INFEASIBLE",IF(AND(price_tomato&gt;K14,price_tomato&lt;K15),"&lt;-- P ~ MC",""))</f>
        <v/>
      </c>
      <c r="O14" s="26" t="n">
        <f aca="false">(B14+B13)/2</f>
        <v>7.5</v>
      </c>
      <c r="P14" s="21" t="n">
        <f aca="false">price_tomato</f>
        <v>8800</v>
      </c>
    </row>
    <row r="15" customFormat="false" ht="14.25" hidden="false" customHeight="false" outlineLevel="0" collapsed="false">
      <c r="B15" s="20" t="n">
        <v>9</v>
      </c>
      <c r="C15" s="11" t="n">
        <f aca="false">B15*laborwk_tomato*season_wks*(1+dim_tomato)^B15</f>
        <v>1909.93762971</v>
      </c>
      <c r="D15" s="11" t="n">
        <f aca="false">MIN(perm_field_hrs,C15)</f>
        <v>720</v>
      </c>
      <c r="E15" s="11" t="n">
        <f aca="false">C15-D15</f>
        <v>1189.93762971</v>
      </c>
      <c r="F15" s="18" t="n">
        <f aca="false">E15/temp_hrs_each</f>
        <v>0.826345576187501</v>
      </c>
      <c r="G15" s="21" t="n">
        <f aca="false">D15*wage_perm+E15*wage_temp</f>
        <v>45658.6394046875</v>
      </c>
      <c r="H15" s="21" t="n">
        <f aca="false">B15*fert_tomato</f>
        <v>7920</v>
      </c>
      <c r="I15" s="21" t="n">
        <f aca="false">G15+H15</f>
        <v>53578.6394046875</v>
      </c>
      <c r="J15" s="21" t="n">
        <f aca="false">I15+costs_fixed</f>
        <v>73578.6394046875</v>
      </c>
      <c r="K15" s="21" t="n">
        <f aca="false">J15-J14</f>
        <v>7243.77927968752</v>
      </c>
      <c r="L15" s="21" t="n">
        <f aca="false">I15/B15</f>
        <v>5953.18215607639</v>
      </c>
      <c r="M15" s="21" t="n">
        <f aca="false">B15*price_tomato-J15</f>
        <v>5621.36059531246</v>
      </c>
      <c r="N15" s="8" t="str">
        <f aca="false">IF(F15&gt;temp_max,"INFEASIBLE",IF(AND(price_tomato&gt;K15,price_tomato&lt;K16),"&lt;-- P ~ MC",""))</f>
        <v/>
      </c>
      <c r="O15" s="26" t="n">
        <f aca="false">(B15+B14)/2</f>
        <v>8.5</v>
      </c>
      <c r="P15" s="21" t="n">
        <f aca="false">price_tomato</f>
        <v>8800</v>
      </c>
    </row>
    <row r="16" customFormat="false" ht="14.25" hidden="false" customHeight="false" outlineLevel="0" collapsed="false">
      <c r="B16" s="20" t="n">
        <v>10</v>
      </c>
      <c r="C16" s="11" t="n">
        <f aca="false">B16*laborwk_tomato*season_wks*(1+dim_tomato)^B16</f>
        <v>2334.36821409</v>
      </c>
      <c r="D16" s="11" t="n">
        <f aca="false">MIN(perm_field_hrs,C16)</f>
        <v>720</v>
      </c>
      <c r="E16" s="11" t="n">
        <f aca="false">C16-D16</f>
        <v>1614.36821409</v>
      </c>
      <c r="F16" s="18" t="n">
        <f aca="false">E16/temp_hrs_each</f>
        <v>1.1210890375625</v>
      </c>
      <c r="G16" s="21" t="n">
        <f aca="false">D16*wage_perm+E16*wage_temp</f>
        <v>53027.2259390625</v>
      </c>
      <c r="H16" s="21" t="n">
        <f aca="false">B16*fert_tomato</f>
        <v>8800</v>
      </c>
      <c r="I16" s="21" t="n">
        <f aca="false">G16+H16</f>
        <v>61827.2259390625</v>
      </c>
      <c r="J16" s="21" t="n">
        <f aca="false">I16+costs_fixed</f>
        <v>81827.2259390625</v>
      </c>
      <c r="K16" s="21" t="n">
        <f aca="false">J16-J15</f>
        <v>8248.58653437501</v>
      </c>
      <c r="L16" s="21" t="n">
        <f aca="false">I16/B16</f>
        <v>6182.72259390625</v>
      </c>
      <c r="M16" s="21" t="n">
        <f aca="false">B16*price_tomato-J16</f>
        <v>6172.77406093746</v>
      </c>
      <c r="N16" s="8" t="str">
        <f aca="false">IF(F16&gt;temp_max,"INFEASIBLE",IF(AND(price_tomato&gt;K16,price_tomato&lt;K17),"&lt;-- P ~ MC",""))</f>
        <v>&lt;-- P ~ MC</v>
      </c>
      <c r="O16" s="26" t="n">
        <f aca="false">(B16+B15)/2</f>
        <v>9.5</v>
      </c>
      <c r="P16" s="21" t="n">
        <f aca="false">price_tomato</f>
        <v>8800</v>
      </c>
    </row>
    <row r="17" customFormat="false" ht="14.25" hidden="false" customHeight="false" outlineLevel="0" collapsed="false">
      <c r="B17" s="20" t="n">
        <v>11</v>
      </c>
      <c r="C17" s="11" t="n">
        <f aca="false">B17*laborwk_tomato*season_wks*(1+dim_tomato)^B17</f>
        <v>2824.5855390489</v>
      </c>
      <c r="D17" s="11" t="n">
        <f aca="false">MIN(perm_field_hrs,C17)</f>
        <v>720</v>
      </c>
      <c r="E17" s="11" t="n">
        <f aca="false">C17-D17</f>
        <v>2104.5855390489</v>
      </c>
      <c r="F17" s="18" t="n">
        <f aca="false">E17/temp_hrs_each</f>
        <v>1.46151773545063</v>
      </c>
      <c r="G17" s="21" t="n">
        <f aca="false">D17*wage_perm+E17*wage_temp</f>
        <v>61537.9433862657</v>
      </c>
      <c r="H17" s="21" t="n">
        <f aca="false">B17*fert_tomato</f>
        <v>9680</v>
      </c>
      <c r="I17" s="21" t="n">
        <f aca="false">G17+H17</f>
        <v>71217.9433862657</v>
      </c>
      <c r="J17" s="21" t="n">
        <f aca="false">I17+costs_fixed</f>
        <v>91217.9433862657</v>
      </c>
      <c r="K17" s="21" t="n">
        <f aca="false">J17-J16</f>
        <v>9390.71744720312</v>
      </c>
      <c r="L17" s="21" t="n">
        <f aca="false">I17/B17</f>
        <v>6474.35848966051</v>
      </c>
      <c r="M17" s="21" t="n">
        <f aca="false">B17*price_tomato-J17</f>
        <v>5582.05661373434</v>
      </c>
      <c r="N17" s="8" t="str">
        <f aca="false">IF(F17&gt;temp_max,"INFEASIBLE",IF(AND(price_tomato&gt;K17,price_tomato&lt;K18),"&lt;-- P ~ MC",""))</f>
        <v/>
      </c>
      <c r="O17" s="26" t="n">
        <f aca="false">(B17+B16)/2</f>
        <v>10.5</v>
      </c>
      <c r="P17" s="21" t="n">
        <f aca="false">price_tomato</f>
        <v>8800</v>
      </c>
    </row>
    <row r="18" customFormat="false" ht="14.25" hidden="false" customHeight="false" outlineLevel="0" collapsed="false">
      <c r="B18" s="20" t="n">
        <v>12</v>
      </c>
      <c r="C18" s="11" t="n">
        <f aca="false">B18*laborwk_tomato*season_wks*(1+dim_tomato)^B18</f>
        <v>3389.50264685868</v>
      </c>
      <c r="D18" s="11" t="n">
        <f aca="false">MIN(perm_field_hrs,C18)</f>
        <v>720</v>
      </c>
      <c r="E18" s="11" t="n">
        <f aca="false">C18-D18</f>
        <v>2669.50264685868</v>
      </c>
      <c r="F18" s="18" t="n">
        <f aca="false">E18/temp_hrs_each</f>
        <v>1.85382128254075</v>
      </c>
      <c r="G18" s="21" t="n">
        <f aca="false">D18*wage_perm+E18*wage_temp</f>
        <v>71345.5320635188</v>
      </c>
      <c r="H18" s="21" t="n">
        <f aca="false">B18*fert_tomato</f>
        <v>10560</v>
      </c>
      <c r="I18" s="21" t="n">
        <f aca="false">G18+H18</f>
        <v>81905.5320635188</v>
      </c>
      <c r="J18" s="21" t="n">
        <f aca="false">I18+costs_fixed</f>
        <v>101905.532063519</v>
      </c>
      <c r="K18" s="21" t="n">
        <f aca="false">J18-J17</f>
        <v>10687.5886772532</v>
      </c>
      <c r="L18" s="21" t="n">
        <f aca="false">I18/B18</f>
        <v>6825.46100529323</v>
      </c>
      <c r="M18" s="21" t="n">
        <f aca="false">B18*price_tomato-J18</f>
        <v>3694.46793648119</v>
      </c>
      <c r="N18" s="8" t="str">
        <f aca="false">IF(F18&gt;temp_max,"INFEASIBLE",IF(AND(price_tomato&gt;K18,price_tomato&lt;K19),"&lt;-- P ~ MC",""))</f>
        <v/>
      </c>
      <c r="O18" s="26" t="n">
        <f aca="false">(B18+B17)/2</f>
        <v>11.5</v>
      </c>
      <c r="P18" s="21" t="n">
        <f aca="false">price_tomato</f>
        <v>8800</v>
      </c>
    </row>
    <row r="19" customFormat="false" ht="14.25" hidden="false" customHeight="false" outlineLevel="0" collapsed="false">
      <c r="B19" s="20" t="n">
        <v>13</v>
      </c>
      <c r="C19" s="11" t="n">
        <f aca="false">B19*laborwk_tomato*season_wks*(1+dim_tomato)^B19</f>
        <v>4039.15732083993</v>
      </c>
      <c r="D19" s="11" t="n">
        <f aca="false">MIN(perm_field_hrs,C19)</f>
        <v>720</v>
      </c>
      <c r="E19" s="11" t="n">
        <f aca="false">C19-D19</f>
        <v>3319.15732083993</v>
      </c>
      <c r="F19" s="18" t="n">
        <f aca="false">E19/temp_hrs_each</f>
        <v>2.3049703616944</v>
      </c>
      <c r="G19" s="21" t="n">
        <f aca="false">D19*wage_perm+E19*wage_temp</f>
        <v>82624.2590423599</v>
      </c>
      <c r="H19" s="21" t="n">
        <f aca="false">B19*fert_tomato</f>
        <v>11440</v>
      </c>
      <c r="I19" s="21" t="n">
        <f aca="false">G19+H19</f>
        <v>94064.2590423599</v>
      </c>
      <c r="J19" s="21" t="n">
        <f aca="false">I19+costs_fixed</f>
        <v>114064.25904236</v>
      </c>
      <c r="K19" s="21" t="n">
        <f aca="false">J19-J18</f>
        <v>12158.7269788411</v>
      </c>
      <c r="L19" s="21" t="n">
        <f aca="false">I19/B19</f>
        <v>7235.71223402769</v>
      </c>
      <c r="M19" s="21" t="n">
        <f aca="false">B19*price_tomato-J19</f>
        <v>335.740957640082</v>
      </c>
      <c r="N19" s="8" t="str">
        <f aca="false">IF(F19&gt;temp_max,"INFEASIBLE",IF(AND(price_tomato&gt;K19,price_tomato&lt;K20),"&lt;-- P ~ MC",""))</f>
        <v/>
      </c>
      <c r="O19" s="26" t="n">
        <f aca="false">(B19+B18)/2</f>
        <v>12.5</v>
      </c>
      <c r="P19" s="21" t="n">
        <f aca="false">price_tomato</f>
        <v>8800</v>
      </c>
    </row>
    <row r="20" customFormat="false" ht="14.25" hidden="false" customHeight="false" outlineLevel="0" collapsed="false">
      <c r="B20" s="20" t="n">
        <v>14</v>
      </c>
      <c r="C20" s="11" t="n">
        <f aca="false">B20*laborwk_tomato*season_wks*(1+dim_tomato)^B20</f>
        <v>4784.84790314884</v>
      </c>
      <c r="D20" s="11" t="n">
        <f aca="false">MIN(perm_field_hrs,C20)</f>
        <v>720</v>
      </c>
      <c r="E20" s="11" t="n">
        <f aca="false">C20-D20</f>
        <v>4064.84790314884</v>
      </c>
      <c r="F20" s="18" t="n">
        <f aca="false">E20/temp_hrs_each</f>
        <v>2.82281104385336</v>
      </c>
      <c r="G20" s="21" t="n">
        <f aca="false">D20*wage_perm+E20*wage_temp</f>
        <v>95570.2760963341</v>
      </c>
      <c r="H20" s="21" t="n">
        <f aca="false">B20*fert_tomato</f>
        <v>12320</v>
      </c>
      <c r="I20" s="21" t="n">
        <f aca="false">G20+H20</f>
        <v>107890.276096334</v>
      </c>
      <c r="J20" s="21" t="n">
        <f aca="false">I20+costs_fixed</f>
        <v>127890.276096334</v>
      </c>
      <c r="K20" s="21" t="n">
        <f aca="false">J20-J19</f>
        <v>13826.0170539742</v>
      </c>
      <c r="L20" s="21" t="n">
        <f aca="false">I20/B20</f>
        <v>7706.44829259529</v>
      </c>
      <c r="M20" s="21" t="n">
        <f aca="false">B20*price_tomato-J20</f>
        <v>-4690.27609633407</v>
      </c>
      <c r="N20" s="8" t="str">
        <f aca="false">IF(F20&gt;temp_max,"INFEASIBLE",IF(AND(price_tomato&gt;K20,price_tomato&lt;K21),"&lt;-- P ~ MC",""))</f>
        <v/>
      </c>
      <c r="O20" s="26" t="n">
        <f aca="false">(B20+B19)/2</f>
        <v>13.5</v>
      </c>
      <c r="P20" s="21" t="n">
        <f aca="false">price_tomato</f>
        <v>8800</v>
      </c>
    </row>
    <row r="21" customFormat="false" ht="14.25" hidden="false" customHeight="false" outlineLevel="0" collapsed="false">
      <c r="B21" s="20" t="n">
        <v>15</v>
      </c>
      <c r="C21" s="11" t="n">
        <f aca="false">B21*laborwk_tomato*season_wks*(1+dim_tomato)^B21</f>
        <v>5639.28502871114</v>
      </c>
      <c r="D21" s="11" t="n">
        <f aca="false">MIN(perm_field_hrs,C21)</f>
        <v>720</v>
      </c>
      <c r="E21" s="11" t="n">
        <f aca="false">C21-D21</f>
        <v>4919.28502871114</v>
      </c>
      <c r="F21" s="18" t="n">
        <f aca="false">E21/temp_hrs_each</f>
        <v>3.41617015882718</v>
      </c>
      <c r="G21" s="21" t="n">
        <f aca="false">D21*wage_perm+E21*wage_temp</f>
        <v>110404.253970679</v>
      </c>
      <c r="H21" s="21" t="n">
        <f aca="false">B21*fert_tomato</f>
        <v>13200</v>
      </c>
      <c r="I21" s="21" t="n">
        <f aca="false">G21+H21</f>
        <v>123604.253970679</v>
      </c>
      <c r="J21" s="21" t="n">
        <f aca="false">I21+costs_fixed</f>
        <v>143604.253970679</v>
      </c>
      <c r="K21" s="21" t="n">
        <f aca="false">J21-J20</f>
        <v>15713.9778743454</v>
      </c>
      <c r="L21" s="21" t="n">
        <f aca="false">I21/B21</f>
        <v>8240.2835980453</v>
      </c>
      <c r="M21" s="21" t="n">
        <f aca="false">B21*price_tomato-J21</f>
        <v>-11604.2539706794</v>
      </c>
      <c r="N21" s="8" t="str">
        <f aca="false">IF(F21&gt;temp_max,"INFEASIBLE",IF(AND(price_tomato&gt;K21,price_tomato&lt;K22),"&lt;-- P ~ MC",""))</f>
        <v/>
      </c>
      <c r="O21" s="26" t="n">
        <f aca="false">(B21+B20)/2</f>
        <v>14.5</v>
      </c>
      <c r="P21" s="21" t="n">
        <f aca="false">price_tomato</f>
        <v>8800</v>
      </c>
    </row>
    <row r="22" customFormat="false" ht="14.25" hidden="false" customHeight="false" outlineLevel="0" collapsed="false">
      <c r="B22" s="20" t="n">
        <v>16</v>
      </c>
      <c r="C22" s="11" t="n">
        <f aca="false">B22*laborwk_tomato*season_wks*(1+dim_tomato)^B22</f>
        <v>6616.7611003544</v>
      </c>
      <c r="D22" s="11" t="n">
        <f aca="false">MIN(perm_field_hrs,C22)</f>
        <v>720</v>
      </c>
      <c r="E22" s="11" t="n">
        <f aca="false">C22-D22</f>
        <v>5896.7611003544</v>
      </c>
      <c r="F22" s="18" t="n">
        <f aca="false">E22/temp_hrs_each</f>
        <v>4.09497298635722</v>
      </c>
      <c r="G22" s="21" t="n">
        <f aca="false">D22*wage_perm+E22*wage_temp</f>
        <v>127374.324658931</v>
      </c>
      <c r="H22" s="21" t="n">
        <f aca="false">B22*fert_tomato</f>
        <v>14080</v>
      </c>
      <c r="I22" s="21" t="n">
        <f aca="false">G22+H22</f>
        <v>141454.324658931</v>
      </c>
      <c r="J22" s="21" t="n">
        <f aca="false">I22+costs_fixed</f>
        <v>161454.324658931</v>
      </c>
      <c r="K22" s="21" t="n">
        <f aca="false">J22-J21</f>
        <v>17850.0706882511</v>
      </c>
      <c r="L22" s="21" t="n">
        <f aca="false">I22/B22</f>
        <v>8840.89529118316</v>
      </c>
      <c r="M22" s="21" t="n">
        <f aca="false">B22*price_tomato-J22</f>
        <v>-20654.3246589305</v>
      </c>
      <c r="N22" s="8" t="str">
        <f aca="false">IF(F22&gt;temp_max,"INFEASIBLE",IF(AND(price_tomato&gt;K22,price_tomato&lt;K23),"&lt;-- P ~ MC",""))</f>
        <v>INFEASIBLE</v>
      </c>
      <c r="O22" s="26" t="n">
        <f aca="false">(B22+B21)/2</f>
        <v>15.5</v>
      </c>
      <c r="P22" s="21" t="n">
        <f aca="false">price_tomato</f>
        <v>8800</v>
      </c>
    </row>
    <row r="23" customFormat="false" ht="14.25" hidden="false" customHeight="false" outlineLevel="0" collapsed="false">
      <c r="B23" s="20" t="n">
        <v>17</v>
      </c>
      <c r="C23" s="11" t="n">
        <f aca="false">B23*laborwk_tomato*season_wks*(1+dim_tomato)^B23</f>
        <v>7733.33953603921</v>
      </c>
      <c r="D23" s="11" t="n">
        <f aca="false">MIN(perm_field_hrs,C23)</f>
        <v>720</v>
      </c>
      <c r="E23" s="11" t="n">
        <f aca="false">C23-D23</f>
        <v>7013.33953603921</v>
      </c>
      <c r="F23" s="18" t="n">
        <f aca="false">E23/temp_hrs_each</f>
        <v>4.870374677805</v>
      </c>
      <c r="G23" s="21" t="n">
        <f aca="false">D23*wage_perm+E23*wage_temp</f>
        <v>146759.366945125</v>
      </c>
      <c r="H23" s="21" t="n">
        <f aca="false">B23*fert_tomato</f>
        <v>14960</v>
      </c>
      <c r="I23" s="21" t="n">
        <f aca="false">G23+H23</f>
        <v>161719.366945125</v>
      </c>
      <c r="J23" s="21" t="n">
        <f aca="false">I23+costs_fixed</f>
        <v>181719.366945125</v>
      </c>
      <c r="K23" s="21" t="n">
        <f aca="false">J23-J22</f>
        <v>20265.0422861946</v>
      </c>
      <c r="L23" s="21" t="n">
        <f aca="false">I23/B23</f>
        <v>9512.90393794854</v>
      </c>
      <c r="M23" s="21" t="n">
        <f aca="false">B23*price_tomato-J23</f>
        <v>-32119.3669451251</v>
      </c>
      <c r="N23" s="8" t="str">
        <f aca="false">IF(F23&gt;temp_max,"INFEASIBLE",IF(AND(price_tomato&gt;K23,price_tomato&lt;K24),"&lt;-- P ~ MC",""))</f>
        <v>INFEASIBLE</v>
      </c>
      <c r="O23" s="26" t="n">
        <f aca="false">(B23+B22)/2</f>
        <v>16.5</v>
      </c>
      <c r="P23" s="21" t="n">
        <f aca="false">price_tomato</f>
        <v>8800</v>
      </c>
    </row>
    <row r="24" customFormat="false" ht="14.25" hidden="false" customHeight="false" outlineLevel="0" collapsed="false">
      <c r="B24" s="20" t="n">
        <v>18</v>
      </c>
      <c r="C24" s="11" t="n">
        <f aca="false">B24*laborwk_tomato*season_wks*(1+dim_tomato)^B24</f>
        <v>9007.06604785743</v>
      </c>
      <c r="D24" s="11" t="n">
        <f aca="false">MIN(perm_field_hrs,C24)</f>
        <v>720</v>
      </c>
      <c r="E24" s="11" t="n">
        <f aca="false">C24-D24</f>
        <v>8287.06604785743</v>
      </c>
      <c r="F24" s="18" t="n">
        <f aca="false">E24/temp_hrs_each</f>
        <v>5.75490697767877</v>
      </c>
      <c r="G24" s="21" t="n">
        <f aca="false">D24*wage_perm+E24*wage_temp</f>
        <v>168872.674441969</v>
      </c>
      <c r="H24" s="21" t="n">
        <f aca="false">B24*fert_tomato</f>
        <v>15840</v>
      </c>
      <c r="I24" s="21" t="n">
        <f aca="false">G24+H24</f>
        <v>184712.674441969</v>
      </c>
      <c r="J24" s="21" t="n">
        <f aca="false">I24+costs_fixed</f>
        <v>204712.674441969</v>
      </c>
      <c r="K24" s="21" t="n">
        <f aca="false">J24-J23</f>
        <v>22993.3074968441</v>
      </c>
      <c r="L24" s="21" t="n">
        <f aca="false">I24/B24</f>
        <v>10261.8152467761</v>
      </c>
      <c r="M24" s="21" t="n">
        <f aca="false">B24*price_tomato-J24</f>
        <v>-46312.6744419692</v>
      </c>
      <c r="N24" s="8" t="str">
        <f aca="false">IF(F24&gt;temp_max,"INFEASIBLE",IF(AND(price_tomato&gt;K24,price_tomato&lt;K25),"&lt;-- P ~ MC",""))</f>
        <v>INFEASIBLE</v>
      </c>
      <c r="O24" s="26" t="n">
        <f aca="false">(B24+B23)/2</f>
        <v>17.5</v>
      </c>
      <c r="P24" s="21" t="n">
        <f aca="false">price_tomato</f>
        <v>8800</v>
      </c>
    </row>
    <row r="25" customFormat="false" ht="14.25" hidden="false" customHeight="false" outlineLevel="0" collapsed="false">
      <c r="B25" s="20" t="n">
        <v>19</v>
      </c>
      <c r="C25" s="11" t="n">
        <f aca="false">B25*laborwk_tomato*season_wks*(1+dim_tomato)^B25</f>
        <v>10458.2044666789</v>
      </c>
      <c r="D25" s="11" t="n">
        <f aca="false">MIN(perm_field_hrs,C25)</f>
        <v>720</v>
      </c>
      <c r="E25" s="11" t="n">
        <f aca="false">C25-D25</f>
        <v>9738.2044666789</v>
      </c>
      <c r="F25" s="18" t="n">
        <f aca="false">E25/temp_hrs_each</f>
        <v>6.76264199074924</v>
      </c>
      <c r="G25" s="21" t="n">
        <f aca="false">D25*wage_perm+E25*wage_temp</f>
        <v>194066.049768731</v>
      </c>
      <c r="H25" s="21" t="n">
        <f aca="false">B25*fert_tomato</f>
        <v>16720</v>
      </c>
      <c r="I25" s="21" t="n">
        <f aca="false">G25+H25</f>
        <v>210786.049768731</v>
      </c>
      <c r="J25" s="21" t="n">
        <f aca="false">I25+costs_fixed</f>
        <v>230786.049768731</v>
      </c>
      <c r="K25" s="21" t="n">
        <f aca="false">J25-J24</f>
        <v>26073.3753267617</v>
      </c>
      <c r="L25" s="21" t="n">
        <f aca="false">I25/B25</f>
        <v>11094.0026194069</v>
      </c>
      <c r="M25" s="21" t="n">
        <f aca="false">B25*price_tomato-J25</f>
        <v>-63586.049768731</v>
      </c>
      <c r="N25" s="8" t="str">
        <f aca="false">IF(F25&gt;temp_max,"INFEASIBLE",IF(AND(price_tomato&gt;K25,price_tomato&lt;K26),"&lt;-- P ~ MC",""))</f>
        <v>INFEASIBLE</v>
      </c>
      <c r="O25" s="26" t="n">
        <f aca="false">(B25+B24)/2</f>
        <v>18.5</v>
      </c>
      <c r="P25" s="21" t="n">
        <f aca="false">price_tomato</f>
        <v>8800</v>
      </c>
    </row>
    <row r="26" customFormat="false" ht="14.25" hidden="false" customHeight="false" outlineLevel="0" collapsed="false">
      <c r="B26" s="20" t="n">
        <v>20</v>
      </c>
      <c r="C26" s="11" t="n">
        <f aca="false">B26*laborwk_tomato*season_wks*(1+dim_tomato)^B26</f>
        <v>12109.4999087861</v>
      </c>
      <c r="D26" s="11" t="n">
        <f aca="false">MIN(perm_field_hrs,C26)</f>
        <v>720</v>
      </c>
      <c r="E26" s="11" t="n">
        <f aca="false">C26-D26</f>
        <v>11389.4999087861</v>
      </c>
      <c r="F26" s="18" t="n">
        <f aca="false">E26/temp_hrs_each</f>
        <v>7.90937493665701</v>
      </c>
      <c r="G26" s="21" t="n">
        <f aca="false">D26*wage_perm+E26*wage_temp</f>
        <v>222734.373416425</v>
      </c>
      <c r="H26" s="21" t="n">
        <f aca="false">B26*fert_tomato</f>
        <v>17600</v>
      </c>
      <c r="I26" s="21" t="n">
        <f aca="false">G26+H26</f>
        <v>240334.373416425</v>
      </c>
      <c r="J26" s="21" t="n">
        <f aca="false">I26+costs_fixed</f>
        <v>260334.373416425</v>
      </c>
      <c r="K26" s="21" t="n">
        <f aca="false">J26-J25</f>
        <v>29548.3236476944</v>
      </c>
      <c r="L26" s="21" t="n">
        <f aca="false">I26/B26</f>
        <v>12016.7186708213</v>
      </c>
      <c r="M26" s="21" t="n">
        <f aca="false">B26*price_tomato-J26</f>
        <v>-84334.3734164253</v>
      </c>
      <c r="N26" s="8" t="str">
        <f aca="false">IF(F26&gt;temp_max,"INFEASIBLE","")</f>
        <v>INFEASIBLE</v>
      </c>
      <c r="O26" s="26" t="n">
        <f aca="false">(B26+B25)/2</f>
        <v>19.5</v>
      </c>
      <c r="P26" s="21" t="n">
        <f aca="false">price_tomato</f>
        <v>8800</v>
      </c>
    </row>
    <row r="29" customFormat="false" ht="14.25" hidden="false" customHeight="false" outlineLevel="0" collapsed="false">
      <c r="B29" s="6" t="s">
        <v>87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customFormat="false" ht="14.25" hidden="false" customHeight="false" outlineLevel="0" collapsed="false">
      <c r="B30" s="12" t="s">
        <v>75</v>
      </c>
      <c r="C30" s="12" t="s">
        <v>57</v>
      </c>
      <c r="D30" s="12" t="s">
        <v>76</v>
      </c>
      <c r="E30" s="12" t="s">
        <v>77</v>
      </c>
      <c r="F30" s="12" t="s">
        <v>78</v>
      </c>
      <c r="G30" s="12" t="s">
        <v>58</v>
      </c>
      <c r="H30" s="12" t="s">
        <v>79</v>
      </c>
      <c r="I30" s="12" t="s">
        <v>60</v>
      </c>
      <c r="J30" s="12" t="s">
        <v>80</v>
      </c>
      <c r="K30" s="12" t="s">
        <v>81</v>
      </c>
      <c r="L30" s="12" t="s">
        <v>82</v>
      </c>
      <c r="M30" s="12" t="s">
        <v>83</v>
      </c>
      <c r="N30" s="12" t="s">
        <v>84</v>
      </c>
      <c r="O30" s="12" t="s">
        <v>85</v>
      </c>
      <c r="P30" s="12" t="s">
        <v>86</v>
      </c>
    </row>
    <row r="31" customFormat="false" ht="14.25" hidden="false" customHeight="false" outlineLevel="0" collapsed="false">
      <c r="B31" s="20" t="n">
        <v>0</v>
      </c>
      <c r="C31" s="11" t="n">
        <f aca="false">B31*laborwk_carrot*season_wks*(1+dim_carrot)^B31</f>
        <v>0</v>
      </c>
      <c r="D31" s="11" t="n">
        <f aca="false">MIN(perm_field_hrs,C31)</f>
        <v>0</v>
      </c>
      <c r="E31" s="11" t="n">
        <f aca="false">C31-D31</f>
        <v>0</v>
      </c>
      <c r="F31" s="18" t="n">
        <f aca="false">E31/temp_hrs_each</f>
        <v>0</v>
      </c>
      <c r="G31" s="21" t="n">
        <f aca="false">D31*wage_perm+E31*wage_temp</f>
        <v>0</v>
      </c>
      <c r="H31" s="21" t="n">
        <f aca="false">B31*fert_carrot</f>
        <v>0</v>
      </c>
      <c r="I31" s="21" t="n">
        <f aca="false">G31+H31</f>
        <v>0</v>
      </c>
      <c r="J31" s="21" t="n">
        <f aca="false">I31+costs_fixed</f>
        <v>20000</v>
      </c>
      <c r="M31" s="21" t="n">
        <f aca="false">B31*price_carrot-J31</f>
        <v>-20000</v>
      </c>
    </row>
    <row r="32" customFormat="false" ht="14.25" hidden="false" customHeight="false" outlineLevel="0" collapsed="false">
      <c r="B32" s="20" t="n">
        <v>1</v>
      </c>
      <c r="C32" s="11" t="n">
        <f aca="false">B32*laborwk_carrot*season_wks*(1+dim_carrot)^B32</f>
        <v>30.75</v>
      </c>
      <c r="D32" s="11" t="n">
        <f aca="false">MIN(perm_field_hrs,C32)</f>
        <v>30.75</v>
      </c>
      <c r="E32" s="11" t="n">
        <f aca="false">C32-D32</f>
        <v>0</v>
      </c>
      <c r="F32" s="18" t="n">
        <f aca="false">E32/temp_hrs_each</f>
        <v>0</v>
      </c>
      <c r="G32" s="21" t="n">
        <f aca="false">D32*wage_perm+E32*wage_temp</f>
        <v>1067.70833333333</v>
      </c>
      <c r="H32" s="21" t="n">
        <f aca="false">B32*fert_carrot</f>
        <v>440</v>
      </c>
      <c r="I32" s="21" t="n">
        <f aca="false">G32+H32</f>
        <v>1507.70833333333</v>
      </c>
      <c r="J32" s="21" t="n">
        <f aca="false">I32+costs_fixed</f>
        <v>21507.7083333333</v>
      </c>
      <c r="K32" s="21" t="n">
        <f aca="false">J32-J31</f>
        <v>1507.70833333333</v>
      </c>
      <c r="L32" s="21" t="n">
        <f aca="false">I32/B32</f>
        <v>1507.70833333333</v>
      </c>
      <c r="M32" s="21" t="n">
        <f aca="false">B32*price_carrot-J32</f>
        <v>-19413.7083333333</v>
      </c>
      <c r="N32" s="8" t="str">
        <f aca="false">IF(F32&gt;temp_max,"INFEASIBLE",IF(AND(price_carrot&gt;K32,price_carrot&lt;K33),"&lt;-- P ~ MC",""))</f>
        <v/>
      </c>
      <c r="O32" s="26" t="n">
        <f aca="false">(B32+B31)/2</f>
        <v>0.5</v>
      </c>
      <c r="P32" s="21" t="n">
        <f aca="false">price_carrot</f>
        <v>2094</v>
      </c>
    </row>
    <row r="33" customFormat="false" ht="14.25" hidden="false" customHeight="false" outlineLevel="0" collapsed="false">
      <c r="B33" s="20" t="n">
        <v>2</v>
      </c>
      <c r="C33" s="11" t="n">
        <f aca="false">B33*laborwk_carrot*season_wks*(1+dim_carrot)^B33</f>
        <v>63.0375</v>
      </c>
      <c r="D33" s="11" t="n">
        <f aca="false">MIN(perm_field_hrs,C33)</f>
        <v>63.0375</v>
      </c>
      <c r="E33" s="11" t="n">
        <f aca="false">C33-D33</f>
        <v>0</v>
      </c>
      <c r="F33" s="18" t="n">
        <f aca="false">E33/temp_hrs_each</f>
        <v>0</v>
      </c>
      <c r="G33" s="21" t="n">
        <f aca="false">D33*wage_perm+E33*wage_temp</f>
        <v>2188.80208333333</v>
      </c>
      <c r="H33" s="21" t="n">
        <f aca="false">B33*fert_carrot</f>
        <v>880</v>
      </c>
      <c r="I33" s="21" t="n">
        <f aca="false">G33+H33</f>
        <v>3068.80208333333</v>
      </c>
      <c r="J33" s="21" t="n">
        <f aca="false">I33+costs_fixed</f>
        <v>23068.8020833333</v>
      </c>
      <c r="K33" s="21" t="n">
        <f aca="false">J33-J32</f>
        <v>1561.09375</v>
      </c>
      <c r="L33" s="21" t="n">
        <f aca="false">I33/B33</f>
        <v>1534.40104166667</v>
      </c>
      <c r="M33" s="21" t="n">
        <f aca="false">B33*price_carrot-J33</f>
        <v>-18880.8020833333</v>
      </c>
      <c r="N33" s="8" t="str">
        <f aca="false">IF(F33&gt;temp_max,"INFEASIBLE",IF(AND(price_carrot&gt;K33,price_carrot&lt;K34),"&lt;-- P ~ MC",""))</f>
        <v/>
      </c>
      <c r="O33" s="26" t="n">
        <f aca="false">(B33+B32)/2</f>
        <v>1.5</v>
      </c>
      <c r="P33" s="21" t="n">
        <f aca="false">price_carrot</f>
        <v>2094</v>
      </c>
    </row>
    <row r="34" customFormat="false" ht="14.25" hidden="false" customHeight="false" outlineLevel="0" collapsed="false">
      <c r="B34" s="20" t="n">
        <v>3</v>
      </c>
      <c r="C34" s="11" t="n">
        <f aca="false">B34*laborwk_carrot*season_wks*(1+dim_carrot)^B34</f>
        <v>96.92015625</v>
      </c>
      <c r="D34" s="11" t="n">
        <f aca="false">MIN(perm_field_hrs,C34)</f>
        <v>96.92015625</v>
      </c>
      <c r="E34" s="11" t="n">
        <f aca="false">C34-D34</f>
        <v>0</v>
      </c>
      <c r="F34" s="18" t="n">
        <f aca="false">E34/temp_hrs_each</f>
        <v>0</v>
      </c>
      <c r="G34" s="21" t="n">
        <f aca="false">D34*wage_perm+E34*wage_temp</f>
        <v>3365.283203125</v>
      </c>
      <c r="H34" s="21" t="n">
        <f aca="false">B34*fert_carrot</f>
        <v>1320</v>
      </c>
      <c r="I34" s="21" t="n">
        <f aca="false">G34+H34</f>
        <v>4685.283203125</v>
      </c>
      <c r="J34" s="21" t="n">
        <f aca="false">I34+costs_fixed</f>
        <v>24685.283203125</v>
      </c>
      <c r="K34" s="21" t="n">
        <f aca="false">J34-J33</f>
        <v>1616.48111979167</v>
      </c>
      <c r="L34" s="21" t="n">
        <f aca="false">I34/B34</f>
        <v>1561.76106770833</v>
      </c>
      <c r="M34" s="21" t="n">
        <f aca="false">B34*price_carrot-J34</f>
        <v>-18403.283203125</v>
      </c>
      <c r="N34" s="8" t="str">
        <f aca="false">IF(F34&gt;temp_max,"INFEASIBLE",IF(AND(price_carrot&gt;K34,price_carrot&lt;K35),"&lt;-- P ~ MC",""))</f>
        <v/>
      </c>
      <c r="O34" s="26" t="n">
        <f aca="false">(B34+B33)/2</f>
        <v>2.5</v>
      </c>
      <c r="P34" s="21" t="n">
        <f aca="false">price_carrot</f>
        <v>2094</v>
      </c>
    </row>
    <row r="35" customFormat="false" ht="14.25" hidden="false" customHeight="false" outlineLevel="0" collapsed="false">
      <c r="B35" s="20" t="n">
        <v>4</v>
      </c>
      <c r="C35" s="11" t="n">
        <f aca="false">B35*laborwk_carrot*season_wks*(1+dim_carrot)^B35</f>
        <v>132.457546875</v>
      </c>
      <c r="D35" s="11" t="n">
        <f aca="false">MIN(perm_field_hrs,C35)</f>
        <v>132.457546875</v>
      </c>
      <c r="E35" s="11" t="n">
        <f aca="false">C35-D35</f>
        <v>0</v>
      </c>
      <c r="F35" s="18" t="n">
        <f aca="false">E35/temp_hrs_each</f>
        <v>0</v>
      </c>
      <c r="G35" s="21" t="n">
        <f aca="false">D35*wage_perm+E35*wage_temp</f>
        <v>4599.22037760416</v>
      </c>
      <c r="H35" s="21" t="n">
        <f aca="false">B35*fert_carrot</f>
        <v>1760</v>
      </c>
      <c r="I35" s="21" t="n">
        <f aca="false">G35+H35</f>
        <v>6359.22037760416</v>
      </c>
      <c r="J35" s="21" t="n">
        <f aca="false">I35+costs_fixed</f>
        <v>26359.2203776042</v>
      </c>
      <c r="K35" s="21" t="n">
        <f aca="false">J35-J34</f>
        <v>1673.93717447916</v>
      </c>
      <c r="L35" s="21" t="n">
        <f aca="false">I35/B35</f>
        <v>1589.80509440104</v>
      </c>
      <c r="M35" s="21" t="n">
        <f aca="false">B35*price_carrot-J35</f>
        <v>-17983.2203776042</v>
      </c>
      <c r="N35" s="8" t="str">
        <f aca="false">IF(F35&gt;temp_max,"INFEASIBLE",IF(AND(price_carrot&gt;K35,price_carrot&lt;K36),"&lt;-- P ~ MC",""))</f>
        <v/>
      </c>
      <c r="O35" s="26" t="n">
        <f aca="false">(B35+B34)/2</f>
        <v>3.5</v>
      </c>
      <c r="P35" s="21" t="n">
        <f aca="false">price_carrot</f>
        <v>2094</v>
      </c>
    </row>
    <row r="36" customFormat="false" ht="14.25" hidden="false" customHeight="false" outlineLevel="0" collapsed="false">
      <c r="B36" s="20" t="n">
        <v>5</v>
      </c>
      <c r="C36" s="11" t="n">
        <f aca="false">B36*laborwk_carrot*season_wks*(1+dim_carrot)^B36</f>
        <v>169.711231933594</v>
      </c>
      <c r="D36" s="11" t="n">
        <f aca="false">MIN(perm_field_hrs,C36)</f>
        <v>169.711231933594</v>
      </c>
      <c r="E36" s="11" t="n">
        <f aca="false">C36-D36</f>
        <v>0</v>
      </c>
      <c r="F36" s="18" t="n">
        <f aca="false">E36/temp_hrs_each</f>
        <v>0</v>
      </c>
      <c r="G36" s="21" t="n">
        <f aca="false">D36*wage_perm+E36*wage_temp</f>
        <v>5892.75110880534</v>
      </c>
      <c r="H36" s="21" t="n">
        <f aca="false">B36*fert_carrot</f>
        <v>2200</v>
      </c>
      <c r="I36" s="21" t="n">
        <f aca="false">G36+H36</f>
        <v>8092.75110880534</v>
      </c>
      <c r="J36" s="21" t="n">
        <f aca="false">I36+costs_fixed</f>
        <v>28092.7511088053</v>
      </c>
      <c r="K36" s="21" t="n">
        <f aca="false">J36-J35</f>
        <v>1733.53073120117</v>
      </c>
      <c r="L36" s="21" t="n">
        <f aca="false">I36/B36</f>
        <v>1618.55022176107</v>
      </c>
      <c r="M36" s="21" t="n">
        <f aca="false">B36*price_carrot-J36</f>
        <v>-17622.7511088053</v>
      </c>
      <c r="N36" s="8" t="str">
        <f aca="false">IF(F36&gt;temp_max,"INFEASIBLE",IF(AND(price_carrot&gt;K36,price_carrot&lt;K37),"&lt;-- P ~ MC",""))</f>
        <v/>
      </c>
      <c r="O36" s="26" t="n">
        <f aca="false">(B36+B35)/2</f>
        <v>4.5</v>
      </c>
      <c r="P36" s="21" t="n">
        <f aca="false">price_carrot</f>
        <v>2094</v>
      </c>
    </row>
    <row r="37" customFormat="false" ht="14.25" hidden="false" customHeight="false" outlineLevel="0" collapsed="false">
      <c r="B37" s="20" t="n">
        <v>6</v>
      </c>
      <c r="C37" s="11" t="n">
        <f aca="false">B37*laborwk_carrot*season_wks*(1+dim_carrot)^B37</f>
        <v>208.74481527832</v>
      </c>
      <c r="D37" s="11" t="n">
        <f aca="false">MIN(perm_field_hrs,C37)</f>
        <v>208.74481527832</v>
      </c>
      <c r="E37" s="11" t="n">
        <f aca="false">C37-D37</f>
        <v>0</v>
      </c>
      <c r="F37" s="18" t="n">
        <f aca="false">E37/temp_hrs_each</f>
        <v>0</v>
      </c>
      <c r="G37" s="21" t="n">
        <f aca="false">D37*wage_perm+E37*wage_temp</f>
        <v>7248.08386383056</v>
      </c>
      <c r="H37" s="21" t="n">
        <f aca="false">B37*fert_carrot</f>
        <v>2640</v>
      </c>
      <c r="I37" s="21" t="n">
        <f aca="false">G37+H37</f>
        <v>9888.08386383056</v>
      </c>
      <c r="J37" s="21" t="n">
        <f aca="false">I37+costs_fixed</f>
        <v>29888.0838638306</v>
      </c>
      <c r="K37" s="21" t="n">
        <f aca="false">J37-J36</f>
        <v>1795.33275502523</v>
      </c>
      <c r="L37" s="21" t="n">
        <f aca="false">I37/B37</f>
        <v>1648.01397730509</v>
      </c>
      <c r="M37" s="21" t="n">
        <f aca="false">B37*price_carrot-J37</f>
        <v>-17324.0838638306</v>
      </c>
      <c r="N37" s="8" t="str">
        <f aca="false">IF(F37&gt;temp_max,"INFEASIBLE",IF(AND(price_carrot&gt;K37,price_carrot&lt;K38),"&lt;-- P ~ MC",""))</f>
        <v/>
      </c>
      <c r="O37" s="26" t="n">
        <f aca="false">(B37+B36)/2</f>
        <v>5.5</v>
      </c>
      <c r="P37" s="21" t="n">
        <f aca="false">price_carrot</f>
        <v>2094</v>
      </c>
    </row>
    <row r="38" customFormat="false" ht="14.25" hidden="false" customHeight="false" outlineLevel="0" collapsed="false">
      <c r="B38" s="20" t="n">
        <v>7</v>
      </c>
      <c r="C38" s="11" t="n">
        <f aca="false">B38*laborwk_carrot*season_wks*(1+dim_carrot)^B38</f>
        <v>249.624008270325</v>
      </c>
      <c r="D38" s="11" t="n">
        <f aca="false">MIN(perm_field_hrs,C38)</f>
        <v>249.624008270325</v>
      </c>
      <c r="E38" s="11" t="n">
        <f aca="false">C38-D38</f>
        <v>0</v>
      </c>
      <c r="F38" s="18" t="n">
        <f aca="false">E38/temp_hrs_each</f>
        <v>0</v>
      </c>
      <c r="G38" s="21" t="n">
        <f aca="false">D38*wage_perm+E38*wage_temp</f>
        <v>8667.50028716405</v>
      </c>
      <c r="H38" s="21" t="n">
        <f aca="false">B38*fert_carrot</f>
        <v>3080</v>
      </c>
      <c r="I38" s="21" t="n">
        <f aca="false">G38+H38</f>
        <v>11747.5002871641</v>
      </c>
      <c r="J38" s="21" t="n">
        <f aca="false">I38+costs_fixed</f>
        <v>31747.5002871641</v>
      </c>
      <c r="K38" s="21" t="n">
        <f aca="false">J38-J37</f>
        <v>1859.41642333349</v>
      </c>
      <c r="L38" s="21" t="n">
        <f aca="false">I38/B38</f>
        <v>1678.21432673772</v>
      </c>
      <c r="M38" s="21" t="n">
        <f aca="false">B38*price_carrot-J38</f>
        <v>-17089.5002871641</v>
      </c>
      <c r="N38" s="8" t="str">
        <f aca="false">IF(F38&gt;temp_max,"INFEASIBLE",IF(AND(price_carrot&gt;K38,price_carrot&lt;K39),"&lt;-- P ~ MC",""))</f>
        <v/>
      </c>
      <c r="O38" s="26" t="n">
        <f aca="false">(B38+B37)/2</f>
        <v>6.5</v>
      </c>
      <c r="P38" s="21" t="n">
        <f aca="false">price_carrot</f>
        <v>2094</v>
      </c>
    </row>
    <row r="39" customFormat="false" ht="14.25" hidden="false" customHeight="false" outlineLevel="0" collapsed="false">
      <c r="B39" s="20" t="n">
        <v>8</v>
      </c>
      <c r="C39" s="11" t="n">
        <f aca="false">B39*laborwk_carrot*season_wks*(1+dim_carrot)^B39</f>
        <v>292.41669540238</v>
      </c>
      <c r="D39" s="11" t="n">
        <f aca="false">MIN(perm_field_hrs,C39)</f>
        <v>292.41669540238</v>
      </c>
      <c r="E39" s="11" t="n">
        <f aca="false">C39-D39</f>
        <v>0</v>
      </c>
      <c r="F39" s="18" t="n">
        <f aca="false">E39/temp_hrs_each</f>
        <v>0</v>
      </c>
      <c r="G39" s="21" t="n">
        <f aca="false">D39*wage_perm+E39*wage_temp</f>
        <v>10153.3574792493</v>
      </c>
      <c r="H39" s="21" t="n">
        <f aca="false">B39*fert_carrot</f>
        <v>3520</v>
      </c>
      <c r="I39" s="21" t="n">
        <f aca="false">G39+H39</f>
        <v>13673.3574792493</v>
      </c>
      <c r="J39" s="21" t="n">
        <f aca="false">I39+costs_fixed</f>
        <v>33673.3574792493</v>
      </c>
      <c r="K39" s="21" t="n">
        <f aca="false">J39-J38</f>
        <v>1925.85719208526</v>
      </c>
      <c r="L39" s="21" t="n">
        <f aca="false">I39/B39</f>
        <v>1709.16968490616</v>
      </c>
      <c r="M39" s="21" t="n">
        <f aca="false">B39*price_carrot-J39</f>
        <v>-16921.3574792493</v>
      </c>
      <c r="N39" s="8" t="str">
        <f aca="false">IF(F39&gt;temp_max,"INFEASIBLE",IF(AND(price_carrot&gt;K39,price_carrot&lt;K40),"&lt;-- P ~ MC",""))</f>
        <v/>
      </c>
      <c r="O39" s="26" t="n">
        <f aca="false">(B39+B38)/2</f>
        <v>7.5</v>
      </c>
      <c r="P39" s="21" t="n">
        <f aca="false">price_carrot</f>
        <v>2094</v>
      </c>
    </row>
    <row r="40" customFormat="false" ht="14.25" hidden="false" customHeight="false" outlineLevel="0" collapsed="false">
      <c r="B40" s="20" t="n">
        <v>9</v>
      </c>
      <c r="C40" s="11" t="n">
        <f aca="false">B40*laborwk_carrot*season_wks*(1+dim_carrot)^B40</f>
        <v>337.19300188587</v>
      </c>
      <c r="D40" s="11" t="n">
        <f aca="false">MIN(perm_field_hrs,C40)</f>
        <v>337.19300188587</v>
      </c>
      <c r="E40" s="11" t="n">
        <f aca="false">C40-D40</f>
        <v>0</v>
      </c>
      <c r="F40" s="18" t="n">
        <f aca="false">E40/temp_hrs_each</f>
        <v>0</v>
      </c>
      <c r="G40" s="21" t="n">
        <f aca="false">D40*wage_perm+E40*wage_temp</f>
        <v>11708.0903432594</v>
      </c>
      <c r="H40" s="21" t="n">
        <f aca="false">B40*fert_carrot</f>
        <v>3960</v>
      </c>
      <c r="I40" s="21" t="n">
        <f aca="false">G40+H40</f>
        <v>15668.0903432594</v>
      </c>
      <c r="J40" s="21" t="n">
        <f aca="false">I40+costs_fixed</f>
        <v>35668.0903432594</v>
      </c>
      <c r="K40" s="21" t="n">
        <f aca="false">J40-J39</f>
        <v>1994.73286401005</v>
      </c>
      <c r="L40" s="21" t="n">
        <f aca="false">I40/B40</f>
        <v>1740.89892702882</v>
      </c>
      <c r="M40" s="21" t="n">
        <f aca="false">B40*price_carrot-J40</f>
        <v>-16822.0903432594</v>
      </c>
      <c r="N40" s="8" t="str">
        <f aca="false">IF(F40&gt;temp_max,"INFEASIBLE",IF(AND(price_carrot&gt;K40,price_carrot&lt;K41),"&lt;-- P ~ MC",""))</f>
        <v/>
      </c>
      <c r="O40" s="26" t="n">
        <f aca="false">(B40+B39)/2</f>
        <v>8.5</v>
      </c>
      <c r="P40" s="21" t="n">
        <f aca="false">price_carrot</f>
        <v>2094</v>
      </c>
    </row>
    <row r="41" customFormat="false" ht="14.25" hidden="false" customHeight="false" outlineLevel="0" collapsed="false">
      <c r="B41" s="20" t="n">
        <v>10</v>
      </c>
      <c r="C41" s="11" t="n">
        <f aca="false">B41*laborwk_carrot*season_wks*(1+dim_carrot)^B41</f>
        <v>384.025363258907</v>
      </c>
      <c r="D41" s="11" t="n">
        <f aca="false">MIN(perm_field_hrs,C41)</f>
        <v>384.025363258907</v>
      </c>
      <c r="E41" s="11" t="n">
        <f aca="false">C41-D41</f>
        <v>0</v>
      </c>
      <c r="F41" s="18" t="n">
        <f aca="false">E41/temp_hrs_each</f>
        <v>0</v>
      </c>
      <c r="G41" s="21" t="n">
        <f aca="false">D41*wage_perm+E41*wage_temp</f>
        <v>13334.2140020454</v>
      </c>
      <c r="H41" s="21" t="n">
        <f aca="false">B41*fert_carrot</f>
        <v>4400</v>
      </c>
      <c r="I41" s="21" t="n">
        <f aca="false">G41+H41</f>
        <v>17734.2140020454</v>
      </c>
      <c r="J41" s="21" t="n">
        <f aca="false">I41+costs_fixed</f>
        <v>37734.2140020454</v>
      </c>
      <c r="K41" s="21" t="n">
        <f aca="false">J41-J40</f>
        <v>2066.12365878602</v>
      </c>
      <c r="L41" s="21" t="n">
        <f aca="false">I41/B41</f>
        <v>1773.42140020454</v>
      </c>
      <c r="M41" s="21" t="n">
        <f aca="false">B41*price_carrot-J41</f>
        <v>-16794.2140020454</v>
      </c>
      <c r="N41" s="8" t="str">
        <f aca="false">IF(F41&gt;temp_max,"INFEASIBLE",IF(AND(price_carrot&gt;K41,price_carrot&lt;K42),"&lt;-- P ~ MC",""))</f>
        <v>&lt;-- P ~ MC</v>
      </c>
      <c r="O41" s="26" t="n">
        <f aca="false">(B41+B40)/2</f>
        <v>9.5</v>
      </c>
      <c r="P41" s="21" t="n">
        <f aca="false">price_carrot</f>
        <v>2094</v>
      </c>
    </row>
    <row r="42" customFormat="false" ht="14.25" hidden="false" customHeight="false" outlineLevel="0" collapsed="false">
      <c r="B42" s="20" t="n">
        <v>11</v>
      </c>
      <c r="C42" s="11" t="n">
        <f aca="false">B42*laborwk_carrot*season_wks*(1+dim_carrot)^B42</f>
        <v>432.988597074418</v>
      </c>
      <c r="D42" s="11" t="n">
        <f aca="false">MIN(perm_field_hrs,C42)</f>
        <v>432.988597074418</v>
      </c>
      <c r="E42" s="11" t="n">
        <f aca="false">C42-D42</f>
        <v>0</v>
      </c>
      <c r="F42" s="18" t="n">
        <f aca="false">E42/temp_hrs_each</f>
        <v>0</v>
      </c>
      <c r="G42" s="21" t="n">
        <f aca="false">D42*wage_perm+E42*wage_temp</f>
        <v>15034.3262873062</v>
      </c>
      <c r="H42" s="21" t="n">
        <f aca="false">B42*fert_carrot</f>
        <v>4840</v>
      </c>
      <c r="I42" s="21" t="n">
        <f aca="false">G42+H42</f>
        <v>19874.3262873062</v>
      </c>
      <c r="J42" s="21" t="n">
        <f aca="false">I42+costs_fixed</f>
        <v>39874.3262873062</v>
      </c>
      <c r="K42" s="21" t="n">
        <f aca="false">J42-J41</f>
        <v>2140.11228526079</v>
      </c>
      <c r="L42" s="21" t="n">
        <f aca="false">I42/B42</f>
        <v>1806.75693520965</v>
      </c>
      <c r="M42" s="21" t="n">
        <f aca="false">B42*price_carrot-J42</f>
        <v>-16840.3262873062</v>
      </c>
      <c r="N42" s="8" t="str">
        <f aca="false">IF(F42&gt;temp_max,"INFEASIBLE",IF(AND(price_carrot&gt;K42,price_carrot&lt;K43),"&lt;-- P ~ MC",""))</f>
        <v/>
      </c>
      <c r="O42" s="26" t="n">
        <f aca="false">(B42+B41)/2</f>
        <v>10.5</v>
      </c>
      <c r="P42" s="21" t="n">
        <f aca="false">price_carrot</f>
        <v>2094</v>
      </c>
    </row>
    <row r="43" customFormat="false" ht="14.25" hidden="false" customHeight="false" outlineLevel="0" collapsed="false">
      <c r="B43" s="20" t="n">
        <v>12</v>
      </c>
      <c r="C43" s="11" t="n">
        <f aca="false">B43*laborwk_carrot*season_wks*(1+dim_carrot)^B43</f>
        <v>484.159976728667</v>
      </c>
      <c r="D43" s="11" t="n">
        <f aca="false">MIN(perm_field_hrs,C43)</f>
        <v>484.159976728667</v>
      </c>
      <c r="E43" s="11" t="n">
        <f aca="false">C43-D43</f>
        <v>0</v>
      </c>
      <c r="F43" s="18" t="n">
        <f aca="false">E43/temp_hrs_each</f>
        <v>0</v>
      </c>
      <c r="G43" s="21" t="n">
        <f aca="false">D43*wage_perm+E43*wage_temp</f>
        <v>16811.1103030787</v>
      </c>
      <c r="H43" s="21" t="n">
        <f aca="false">B43*fert_carrot</f>
        <v>5280</v>
      </c>
      <c r="I43" s="21" t="n">
        <f aca="false">G43+H43</f>
        <v>22091.1103030787</v>
      </c>
      <c r="J43" s="21" t="n">
        <f aca="false">I43+costs_fixed</f>
        <v>42091.1103030787</v>
      </c>
      <c r="K43" s="21" t="n">
        <f aca="false">J43-J42</f>
        <v>2216.78401577254</v>
      </c>
      <c r="L43" s="21" t="n">
        <f aca="false">I43/B43</f>
        <v>1840.92585858989</v>
      </c>
      <c r="M43" s="21" t="n">
        <f aca="false">B43*price_carrot-J43</f>
        <v>-16963.1103030787</v>
      </c>
      <c r="N43" s="8" t="str">
        <f aca="false">IF(F43&gt;temp_max,"INFEASIBLE",IF(AND(price_carrot&gt;K43,price_carrot&lt;K44),"&lt;-- P ~ MC",""))</f>
        <v/>
      </c>
      <c r="O43" s="26" t="n">
        <f aca="false">(B43+B42)/2</f>
        <v>11.5</v>
      </c>
      <c r="P43" s="21" t="n">
        <f aca="false">price_carrot</f>
        <v>2094</v>
      </c>
    </row>
    <row r="44" customFormat="false" ht="14.25" hidden="false" customHeight="false" outlineLevel="0" collapsed="false">
      <c r="B44" s="20" t="n">
        <v>13</v>
      </c>
      <c r="C44" s="11" t="n">
        <f aca="false">B44*laborwk_carrot*season_wks*(1+dim_carrot)^B44</f>
        <v>537.619307492457</v>
      </c>
      <c r="D44" s="11" t="n">
        <f aca="false">MIN(perm_field_hrs,C44)</f>
        <v>537.619307492457</v>
      </c>
      <c r="E44" s="11" t="n">
        <f aca="false">C44-D44</f>
        <v>0</v>
      </c>
      <c r="F44" s="18" t="n">
        <f aca="false">E44/temp_hrs_each</f>
        <v>0</v>
      </c>
      <c r="G44" s="21" t="n">
        <f aca="false">D44*wage_perm+E44*wage_temp</f>
        <v>18667.3370657103</v>
      </c>
      <c r="H44" s="21" t="n">
        <f aca="false">B44*fert_carrot</f>
        <v>5720</v>
      </c>
      <c r="I44" s="21" t="n">
        <f aca="false">G44+H44</f>
        <v>24387.3370657103</v>
      </c>
      <c r="J44" s="21" t="n">
        <f aca="false">I44+costs_fixed</f>
        <v>44387.3370657103</v>
      </c>
      <c r="K44" s="21" t="n">
        <f aca="false">J44-J43</f>
        <v>2296.2267626316</v>
      </c>
      <c r="L44" s="21" t="n">
        <f aca="false">I44/B44</f>
        <v>1875.94900505464</v>
      </c>
      <c r="M44" s="21" t="n">
        <f aca="false">B44*price_carrot-J44</f>
        <v>-17165.3370657103</v>
      </c>
      <c r="N44" s="8" t="str">
        <f aca="false">IF(F44&gt;temp_max,"INFEASIBLE",IF(AND(price_carrot&gt;K44,price_carrot&lt;K45),"&lt;-- P ~ MC",""))</f>
        <v/>
      </c>
      <c r="O44" s="26" t="n">
        <f aca="false">(B44+B43)/2</f>
        <v>12.5</v>
      </c>
      <c r="P44" s="21" t="n">
        <f aca="false">price_carrot</f>
        <v>2094</v>
      </c>
    </row>
    <row r="45" customFormat="false" ht="14.25" hidden="false" customHeight="false" outlineLevel="0" collapsed="false">
      <c r="B45" s="20" t="n">
        <v>14</v>
      </c>
      <c r="C45" s="11" t="n">
        <f aca="false">B45*laborwk_carrot*season_wks*(1+dim_carrot)^B45</f>
        <v>593.449004808982</v>
      </c>
      <c r="D45" s="11" t="n">
        <f aca="false">MIN(perm_field_hrs,C45)</f>
        <v>593.449004808982</v>
      </c>
      <c r="E45" s="11" t="n">
        <f aca="false">C45-D45</f>
        <v>0</v>
      </c>
      <c r="F45" s="18" t="n">
        <f aca="false">E45/temp_hrs_each</f>
        <v>0</v>
      </c>
      <c r="G45" s="21" t="n">
        <f aca="false">D45*wage_perm+E45*wage_temp</f>
        <v>20605.8682225341</v>
      </c>
      <c r="H45" s="21" t="n">
        <f aca="false">B45*fert_carrot</f>
        <v>6160</v>
      </c>
      <c r="I45" s="21" t="n">
        <f aca="false">G45+H45</f>
        <v>26765.8682225341</v>
      </c>
      <c r="J45" s="21" t="n">
        <f aca="false">I45+costs_fixed</f>
        <v>46765.8682225341</v>
      </c>
      <c r="K45" s="21" t="n">
        <f aca="false">J45-J44</f>
        <v>2378.53115682377</v>
      </c>
      <c r="L45" s="21" t="n">
        <f aca="false">I45/B45</f>
        <v>1911.84773018101</v>
      </c>
      <c r="M45" s="21" t="n">
        <f aca="false">B45*price_carrot-J45</f>
        <v>-17449.8682225341</v>
      </c>
      <c r="N45" s="8" t="str">
        <f aca="false">IF(F45&gt;temp_max,"INFEASIBLE",IF(AND(price_carrot&gt;K45,price_carrot&lt;K46),"&lt;-- P ~ MC",""))</f>
        <v/>
      </c>
      <c r="O45" s="26" t="n">
        <f aca="false">(B45+B44)/2</f>
        <v>13.5</v>
      </c>
      <c r="P45" s="21" t="n">
        <f aca="false">price_carrot</f>
        <v>2094</v>
      </c>
    </row>
    <row r="46" customFormat="false" ht="14.25" hidden="false" customHeight="false" outlineLevel="0" collapsed="false">
      <c r="B46" s="20" t="n">
        <v>15</v>
      </c>
      <c r="C46" s="11" t="n">
        <f aca="false">B46*laborwk_carrot*season_wks*(1+dim_carrot)^B46</f>
        <v>651.734174924149</v>
      </c>
      <c r="D46" s="11" t="n">
        <f aca="false">MIN(perm_field_hrs,C46)</f>
        <v>651.734174924149</v>
      </c>
      <c r="E46" s="11" t="n">
        <f aca="false">C46-D46</f>
        <v>0</v>
      </c>
      <c r="F46" s="18" t="n">
        <f aca="false">E46/temp_hrs_each</f>
        <v>0</v>
      </c>
      <c r="G46" s="21" t="n">
        <f aca="false">D46*wage_perm+E46*wage_temp</f>
        <v>22629.658851533</v>
      </c>
      <c r="H46" s="21" t="n">
        <f aca="false">B46*fert_carrot</f>
        <v>6600</v>
      </c>
      <c r="I46" s="21" t="n">
        <f aca="false">G46+H46</f>
        <v>29229.658851533</v>
      </c>
      <c r="J46" s="21" t="n">
        <f aca="false">I46+costs_fixed</f>
        <v>49229.658851533</v>
      </c>
      <c r="K46" s="21" t="n">
        <f aca="false">J46-J45</f>
        <v>2463.79062899888</v>
      </c>
      <c r="L46" s="21" t="n">
        <f aca="false">I46/B46</f>
        <v>1948.64392343553</v>
      </c>
      <c r="M46" s="21" t="n">
        <f aca="false">B46*price_carrot-J46</f>
        <v>-17819.658851533</v>
      </c>
      <c r="N46" s="8" t="str">
        <f aca="false">IF(F46&gt;temp_max,"INFEASIBLE",IF(AND(price_carrot&gt;K46,price_carrot&lt;K47),"&lt;-- P ~ MC",""))</f>
        <v/>
      </c>
      <c r="O46" s="26" t="n">
        <f aca="false">(B46+B45)/2</f>
        <v>14.5</v>
      </c>
      <c r="P46" s="21" t="n">
        <f aca="false">price_carrot</f>
        <v>2094</v>
      </c>
    </row>
    <row r="47" customFormat="false" ht="14.25" hidden="false" customHeight="false" outlineLevel="0" collapsed="false">
      <c r="B47" s="20" t="n">
        <v>16</v>
      </c>
      <c r="C47" s="11" t="n">
        <f aca="false">B47*laborwk_carrot*season_wks*(1+dim_carrot)^B47</f>
        <v>712.56269791707</v>
      </c>
      <c r="D47" s="11" t="n">
        <f aca="false">MIN(perm_field_hrs,C47)</f>
        <v>712.56269791707</v>
      </c>
      <c r="E47" s="11" t="n">
        <f aca="false">C47-D47</f>
        <v>0</v>
      </c>
      <c r="F47" s="18" t="n">
        <f aca="false">E47/temp_hrs_each</f>
        <v>0</v>
      </c>
      <c r="G47" s="21" t="n">
        <f aca="false">D47*wage_perm+E47*wage_temp</f>
        <v>24741.7603443427</v>
      </c>
      <c r="H47" s="21" t="n">
        <f aca="false">B47*fert_carrot</f>
        <v>7040</v>
      </c>
      <c r="I47" s="21" t="n">
        <f aca="false">G47+H47</f>
        <v>31781.7603443427</v>
      </c>
      <c r="J47" s="21" t="n">
        <f aca="false">I47+costs_fixed</f>
        <v>51781.7603443427</v>
      </c>
      <c r="K47" s="21" t="n">
        <f aca="false">J47-J46</f>
        <v>2552.10149280974</v>
      </c>
      <c r="L47" s="21" t="n">
        <f aca="false">I47/B47</f>
        <v>1986.36002152142</v>
      </c>
      <c r="M47" s="21" t="n">
        <f aca="false">B47*price_carrot-J47</f>
        <v>-18277.7603443427</v>
      </c>
      <c r="N47" s="8" t="str">
        <f aca="false">IF(F47&gt;temp_max,"INFEASIBLE",IF(AND(price_carrot&gt;K47,price_carrot&lt;K48),"&lt;-- P ~ MC",""))</f>
        <v/>
      </c>
      <c r="O47" s="26" t="n">
        <f aca="false">(B47+B46)/2</f>
        <v>15.5</v>
      </c>
      <c r="P47" s="21" t="n">
        <f aca="false">price_carrot</f>
        <v>2094</v>
      </c>
    </row>
    <row r="48" customFormat="false" ht="14.25" hidden="false" customHeight="false" outlineLevel="0" collapsed="false">
      <c r="B48" s="20" t="n">
        <v>17</v>
      </c>
      <c r="C48" s="11" t="n">
        <f aca="false">B48*laborwk_carrot*season_wks*(1+dim_carrot)^B48</f>
        <v>776.025313200309</v>
      </c>
      <c r="D48" s="11" t="n">
        <f aca="false">MIN(perm_field_hrs,C48)</f>
        <v>720</v>
      </c>
      <c r="E48" s="11" t="n">
        <f aca="false">C48-D48</f>
        <v>56.0253132003089</v>
      </c>
      <c r="F48" s="18" t="n">
        <f aca="false">E48/temp_hrs_each</f>
        <v>0.0389064675002145</v>
      </c>
      <c r="G48" s="21" t="n">
        <f aca="false">D48*wage_perm+E48*wage_temp</f>
        <v>25972.6616875054</v>
      </c>
      <c r="H48" s="21" t="n">
        <f aca="false">B48*fert_carrot</f>
        <v>7480</v>
      </c>
      <c r="I48" s="21" t="n">
        <f aca="false">G48+H48</f>
        <v>33452.6616875054</v>
      </c>
      <c r="J48" s="21" t="n">
        <f aca="false">I48+costs_fixed</f>
        <v>53452.6616875054</v>
      </c>
      <c r="K48" s="21" t="n">
        <f aca="false">J48-J47</f>
        <v>1670.90134316265</v>
      </c>
      <c r="L48" s="21" t="n">
        <f aca="false">I48/B48</f>
        <v>1967.80362867679</v>
      </c>
      <c r="M48" s="21" t="n">
        <f aca="false">B48*price_carrot-J48</f>
        <v>-17854.6616875054</v>
      </c>
      <c r="N48" s="8" t="str">
        <f aca="false">IF(F48&gt;temp_max,"INFEASIBLE",IF(AND(price_carrot&gt;K48,price_carrot&lt;K49),"&lt;-- P ~ MC",""))</f>
        <v/>
      </c>
      <c r="O48" s="26" t="n">
        <f aca="false">(B48+B47)/2</f>
        <v>16.5</v>
      </c>
      <c r="P48" s="21" t="n">
        <f aca="false">price_carrot</f>
        <v>2094</v>
      </c>
    </row>
    <row r="49" customFormat="false" ht="14.25" hidden="false" customHeight="false" outlineLevel="0" collapsed="false">
      <c r="B49" s="20" t="n">
        <v>18</v>
      </c>
      <c r="C49" s="11" t="n">
        <f aca="false">B49*laborwk_carrot*season_wks*(1+dim_carrot)^B49</f>
        <v>842.215707561512</v>
      </c>
      <c r="D49" s="11" t="n">
        <f aca="false">MIN(perm_field_hrs,C49)</f>
        <v>720</v>
      </c>
      <c r="E49" s="11" t="n">
        <f aca="false">C49-D49</f>
        <v>122.215707561512</v>
      </c>
      <c r="F49" s="18" t="n">
        <f aca="false">E49/temp_hrs_each</f>
        <v>0.0848720191399386</v>
      </c>
      <c r="G49" s="21" t="n">
        <f aca="false">D49*wage_perm+E49*wage_temp</f>
        <v>27121.8004784985</v>
      </c>
      <c r="H49" s="21" t="n">
        <f aca="false">B49*fert_carrot</f>
        <v>7920</v>
      </c>
      <c r="I49" s="21" t="n">
        <f aca="false">G49+H49</f>
        <v>35041.8004784985</v>
      </c>
      <c r="J49" s="21" t="n">
        <f aca="false">I49+costs_fixed</f>
        <v>55041.8004784985</v>
      </c>
      <c r="K49" s="21" t="n">
        <f aca="false">J49-J48</f>
        <v>1589.13879099311</v>
      </c>
      <c r="L49" s="21" t="n">
        <f aca="false">I49/B49</f>
        <v>1946.76669324991</v>
      </c>
      <c r="M49" s="21" t="n">
        <f aca="false">B49*price_carrot-J49</f>
        <v>-17349.8004784985</v>
      </c>
      <c r="N49" s="8" t="str">
        <f aca="false">IF(F49&gt;temp_max,"INFEASIBLE",IF(AND(price_carrot&gt;K49,price_carrot&lt;K50),"&lt;-- P ~ MC",""))</f>
        <v/>
      </c>
      <c r="O49" s="26" t="n">
        <f aca="false">(B49+B48)/2</f>
        <v>17.5</v>
      </c>
      <c r="P49" s="21" t="n">
        <f aca="false">price_carrot</f>
        <v>2094</v>
      </c>
    </row>
    <row r="50" customFormat="false" ht="14.25" hidden="false" customHeight="false" outlineLevel="0" collapsed="false">
      <c r="B50" s="20" t="n">
        <v>19</v>
      </c>
      <c r="C50" s="11" t="n">
        <f aca="false">B50*laborwk_carrot*season_wks*(1+dim_carrot)^B50</f>
        <v>911.230605820024</v>
      </c>
      <c r="D50" s="11" t="n">
        <f aca="false">MIN(perm_field_hrs,C50)</f>
        <v>720</v>
      </c>
      <c r="E50" s="11" t="n">
        <f aca="false">C50-D50</f>
        <v>191.230605820024</v>
      </c>
      <c r="F50" s="18" t="n">
        <f aca="false">E50/temp_hrs_each</f>
        <v>0.132799031819461</v>
      </c>
      <c r="G50" s="21" t="n">
        <f aca="false">D50*wage_perm+E50*wage_temp</f>
        <v>28319.9757954865</v>
      </c>
      <c r="H50" s="21" t="n">
        <f aca="false">B50*fert_carrot</f>
        <v>8360</v>
      </c>
      <c r="I50" s="21" t="n">
        <f aca="false">G50+H50</f>
        <v>36679.9757954865</v>
      </c>
      <c r="J50" s="21" t="n">
        <f aca="false">I50+costs_fixed</f>
        <v>56679.9757954865</v>
      </c>
      <c r="K50" s="21" t="n">
        <f aca="false">J50-J49</f>
        <v>1638.17531698807</v>
      </c>
      <c r="L50" s="21" t="n">
        <f aca="false">I50/B50</f>
        <v>1930.52504186771</v>
      </c>
      <c r="M50" s="21" t="n">
        <f aca="false">B50*price_carrot-J50</f>
        <v>-16893.9757954865</v>
      </c>
      <c r="N50" s="8" t="str">
        <f aca="false">IF(F50&gt;temp_max,"INFEASIBLE",IF(AND(price_carrot&gt;K50,price_carrot&lt;K51),"&lt;-- P ~ MC",""))</f>
        <v/>
      </c>
      <c r="O50" s="26" t="n">
        <f aca="false">(B50+B49)/2</f>
        <v>18.5</v>
      </c>
      <c r="P50" s="21" t="n">
        <f aca="false">price_carrot</f>
        <v>2094</v>
      </c>
    </row>
    <row r="51" customFormat="false" ht="14.25" hidden="false" customHeight="false" outlineLevel="0" collapsed="false">
      <c r="B51" s="20" t="n">
        <v>20</v>
      </c>
      <c r="C51" s="11" t="n">
        <f aca="false">B51*laborwk_carrot*season_wks*(1+dim_carrot)^B51</f>
        <v>983.169864174237</v>
      </c>
      <c r="D51" s="11" t="n">
        <f aca="false">MIN(perm_field_hrs,C51)</f>
        <v>720</v>
      </c>
      <c r="E51" s="11" t="n">
        <f aca="false">C51-D51</f>
        <v>263.169864174237</v>
      </c>
      <c r="F51" s="18" t="n">
        <f aca="false">E51/temp_hrs_each</f>
        <v>0.182756850120998</v>
      </c>
      <c r="G51" s="21" t="n">
        <f aca="false">D51*wage_perm+E51*wage_temp</f>
        <v>29568.9212530249</v>
      </c>
      <c r="H51" s="21" t="n">
        <f aca="false">B51*fert_carrot</f>
        <v>8800</v>
      </c>
      <c r="I51" s="21" t="n">
        <f aca="false">G51+H51</f>
        <v>38368.9212530249</v>
      </c>
      <c r="J51" s="21" t="n">
        <f aca="false">I51+costs_fixed</f>
        <v>58368.9212530249</v>
      </c>
      <c r="K51" s="21" t="n">
        <f aca="false">J51-J50</f>
        <v>1688.9454575384</v>
      </c>
      <c r="L51" s="21" t="n">
        <f aca="false">I51/B51</f>
        <v>1918.44606265125</v>
      </c>
      <c r="M51" s="21" t="n">
        <f aca="false">B51*price_carrot-J51</f>
        <v>-16488.9212530249</v>
      </c>
      <c r="N51" s="8" t="str">
        <f aca="false">IF(F51&gt;temp_max,"INFEASIBLE","")</f>
        <v/>
      </c>
      <c r="O51" s="26" t="n">
        <f aca="false">(B51+B50)/2</f>
        <v>19.5</v>
      </c>
      <c r="P51" s="21" t="n">
        <f aca="false">price_carrot</f>
        <v>2094</v>
      </c>
    </row>
    <row r="54" customFormat="false" ht="14.25" hidden="false" customHeight="false" outlineLevel="0" collapsed="false">
      <c r="B54" s="6" t="s">
        <v>88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customFormat="false" ht="14.25" hidden="false" customHeight="false" outlineLevel="0" collapsed="false">
      <c r="B55" s="12" t="s">
        <v>75</v>
      </c>
      <c r="C55" s="12" t="s">
        <v>57</v>
      </c>
      <c r="D55" s="12" t="s">
        <v>76</v>
      </c>
      <c r="E55" s="12" t="s">
        <v>77</v>
      </c>
      <c r="F55" s="12" t="s">
        <v>78</v>
      </c>
      <c r="G55" s="12" t="s">
        <v>58</v>
      </c>
      <c r="H55" s="12" t="s">
        <v>79</v>
      </c>
      <c r="I55" s="12" t="s">
        <v>60</v>
      </c>
      <c r="J55" s="12" t="s">
        <v>80</v>
      </c>
      <c r="K55" s="12" t="s">
        <v>81</v>
      </c>
      <c r="L55" s="12" t="s">
        <v>82</v>
      </c>
      <c r="M55" s="12" t="s">
        <v>83</v>
      </c>
      <c r="N55" s="12" t="s">
        <v>84</v>
      </c>
      <c r="O55" s="12" t="s">
        <v>85</v>
      </c>
      <c r="P55" s="12" t="s">
        <v>86</v>
      </c>
    </row>
    <row r="56" customFormat="false" ht="14.25" hidden="false" customHeight="false" outlineLevel="0" collapsed="false">
      <c r="B56" s="20" t="n">
        <v>0</v>
      </c>
      <c r="C56" s="11" t="n">
        <f aca="false">B56*laborwk_mesclun*season_wks*(1+dim_mesclun)^B56</f>
        <v>0</v>
      </c>
      <c r="D56" s="11" t="n">
        <f aca="false">MIN(perm_field_hrs,C56)</f>
        <v>0</v>
      </c>
      <c r="E56" s="11" t="n">
        <f aca="false">C56-D56</f>
        <v>0</v>
      </c>
      <c r="F56" s="18" t="n">
        <f aca="false">E56/temp_hrs_each</f>
        <v>0</v>
      </c>
      <c r="G56" s="21" t="n">
        <f aca="false">D56*wage_perm+E56*wage_temp</f>
        <v>0</v>
      </c>
      <c r="H56" s="21" t="n">
        <f aca="false">B56*fert_mesclun</f>
        <v>0</v>
      </c>
      <c r="I56" s="21" t="n">
        <f aca="false">G56+H56</f>
        <v>0</v>
      </c>
      <c r="J56" s="21" t="n">
        <f aca="false">I56+costs_fixed</f>
        <v>20000</v>
      </c>
      <c r="M56" s="21" t="n">
        <f aca="false">B56*price_mesclun-J56</f>
        <v>-20000</v>
      </c>
    </row>
    <row r="57" customFormat="false" ht="14.25" hidden="false" customHeight="false" outlineLevel="0" collapsed="false">
      <c r="B57" s="20" t="n">
        <v>1</v>
      </c>
      <c r="C57" s="11" t="n">
        <f aca="false">B57*laborwk_mesclun*season_wks*(1+dim_mesclun)^B57</f>
        <v>45.5625</v>
      </c>
      <c r="D57" s="11" t="n">
        <f aca="false">MIN(perm_field_hrs,C57)</f>
        <v>45.5625</v>
      </c>
      <c r="E57" s="11" t="n">
        <f aca="false">C57-D57</f>
        <v>0</v>
      </c>
      <c r="F57" s="18" t="n">
        <f aca="false">E57/temp_hrs_each</f>
        <v>0</v>
      </c>
      <c r="G57" s="21" t="n">
        <f aca="false">D57*wage_perm+E57*wage_temp</f>
        <v>1582.03125</v>
      </c>
      <c r="H57" s="21" t="n">
        <f aca="false">B57*fert_mesclun</f>
        <v>880</v>
      </c>
      <c r="I57" s="21" t="n">
        <f aca="false">G57+H57</f>
        <v>2462.03125</v>
      </c>
      <c r="J57" s="21" t="n">
        <f aca="false">I57+costs_fixed</f>
        <v>22462.03125</v>
      </c>
      <c r="K57" s="21" t="n">
        <f aca="false">J57-J56</f>
        <v>2462.03125</v>
      </c>
      <c r="L57" s="21" t="n">
        <f aca="false">I57/B57</f>
        <v>2462.03125</v>
      </c>
      <c r="M57" s="21" t="n">
        <f aca="false">B57*price_mesclun-J57</f>
        <v>-19762.03125</v>
      </c>
      <c r="N57" s="8" t="str">
        <f aca="false">IF(F57&gt;temp_max,"INFEASIBLE",IF(AND(price_mesclun&gt;K57,price_mesclun&lt;K58),"&lt;-- P ~ MC",""))</f>
        <v/>
      </c>
      <c r="O57" s="26" t="n">
        <f aca="false">(B57+B56)/2</f>
        <v>0.5</v>
      </c>
      <c r="P57" s="21" t="n">
        <f aca="false">price_mesclun</f>
        <v>2700</v>
      </c>
    </row>
    <row r="58" customFormat="false" ht="14.25" hidden="false" customHeight="false" outlineLevel="0" collapsed="false">
      <c r="B58" s="20" t="n">
        <v>2</v>
      </c>
      <c r="C58" s="11" t="n">
        <f aca="false">B58*laborwk_mesclun*season_wks*(1+dim_mesclun)^B58</f>
        <v>92.2640625</v>
      </c>
      <c r="D58" s="11" t="n">
        <f aca="false">MIN(perm_field_hrs,C58)</f>
        <v>92.2640625</v>
      </c>
      <c r="E58" s="11" t="n">
        <f aca="false">C58-D58</f>
        <v>0</v>
      </c>
      <c r="F58" s="18" t="n">
        <f aca="false">E58/temp_hrs_each</f>
        <v>0</v>
      </c>
      <c r="G58" s="21" t="n">
        <f aca="false">D58*wage_perm+E58*wage_temp</f>
        <v>3203.61328125</v>
      </c>
      <c r="H58" s="21" t="n">
        <f aca="false">B58*fert_mesclun</f>
        <v>1760</v>
      </c>
      <c r="I58" s="21" t="n">
        <f aca="false">G58+H58</f>
        <v>4963.61328125</v>
      </c>
      <c r="J58" s="21" t="n">
        <f aca="false">I58+costs_fixed</f>
        <v>24963.61328125</v>
      </c>
      <c r="K58" s="21" t="n">
        <f aca="false">J58-J57</f>
        <v>2501.58203125</v>
      </c>
      <c r="L58" s="21" t="n">
        <f aca="false">I58/B58</f>
        <v>2481.806640625</v>
      </c>
      <c r="M58" s="21" t="n">
        <f aca="false">B58*price_mesclun-J58</f>
        <v>-19563.61328125</v>
      </c>
      <c r="N58" s="8" t="str">
        <f aca="false">IF(F58&gt;temp_max,"INFEASIBLE",IF(AND(price_mesclun&gt;K58,price_mesclun&lt;K59),"&lt;-- P ~ MC",""))</f>
        <v/>
      </c>
      <c r="O58" s="26" t="n">
        <f aca="false">(B58+B57)/2</f>
        <v>1.5</v>
      </c>
      <c r="P58" s="21" t="n">
        <f aca="false">price_mesclun</f>
        <v>2700</v>
      </c>
    </row>
    <row r="59" customFormat="false" ht="14.25" hidden="false" customHeight="false" outlineLevel="0" collapsed="false">
      <c r="B59" s="20" t="n">
        <v>3</v>
      </c>
      <c r="C59" s="11" t="n">
        <f aca="false">B59*laborwk_mesclun*season_wks*(1+dim_mesclun)^B59</f>
        <v>140.126044921875</v>
      </c>
      <c r="D59" s="11" t="n">
        <f aca="false">MIN(perm_field_hrs,C59)</f>
        <v>140.126044921875</v>
      </c>
      <c r="E59" s="11" t="n">
        <f aca="false">C59-D59</f>
        <v>0</v>
      </c>
      <c r="F59" s="18" t="n">
        <f aca="false">E59/temp_hrs_each</f>
        <v>0</v>
      </c>
      <c r="G59" s="21" t="n">
        <f aca="false">D59*wage_perm+E59*wage_temp</f>
        <v>4865.48767089844</v>
      </c>
      <c r="H59" s="21" t="n">
        <f aca="false">B59*fert_mesclun</f>
        <v>2640</v>
      </c>
      <c r="I59" s="21" t="n">
        <f aca="false">G59+H59</f>
        <v>7505.48767089844</v>
      </c>
      <c r="J59" s="21" t="n">
        <f aca="false">I59+costs_fixed</f>
        <v>27505.4876708984</v>
      </c>
      <c r="K59" s="21" t="n">
        <f aca="false">J59-J58</f>
        <v>2541.87438964844</v>
      </c>
      <c r="L59" s="21" t="n">
        <f aca="false">I59/B59</f>
        <v>2501.82922363281</v>
      </c>
      <c r="M59" s="21" t="n">
        <f aca="false">B59*price_mesclun-J59</f>
        <v>-19405.4876708984</v>
      </c>
      <c r="N59" s="8" t="str">
        <f aca="false">IF(F59&gt;temp_max,"INFEASIBLE",IF(AND(price_mesclun&gt;K59,price_mesclun&lt;K60),"&lt;-- P ~ MC",""))</f>
        <v/>
      </c>
      <c r="O59" s="26" t="n">
        <f aca="false">(B59+B58)/2</f>
        <v>2.5</v>
      </c>
      <c r="P59" s="21" t="n">
        <f aca="false">price_mesclun</f>
        <v>2700</v>
      </c>
    </row>
    <row r="60" customFormat="false" ht="14.25" hidden="false" customHeight="false" outlineLevel="0" collapsed="false">
      <c r="B60" s="20" t="n">
        <v>4</v>
      </c>
      <c r="C60" s="11" t="n">
        <f aca="false">B60*laborwk_mesclun*season_wks*(1+dim_mesclun)^B60</f>
        <v>189.170160644531</v>
      </c>
      <c r="D60" s="11" t="n">
        <f aca="false">MIN(perm_field_hrs,C60)</f>
        <v>189.170160644531</v>
      </c>
      <c r="E60" s="11" t="n">
        <f aca="false">C60-D60</f>
        <v>0</v>
      </c>
      <c r="F60" s="18" t="n">
        <f aca="false">E60/temp_hrs_each</f>
        <v>0</v>
      </c>
      <c r="G60" s="21" t="n">
        <f aca="false">D60*wage_perm+E60*wage_temp</f>
        <v>6568.40835571289</v>
      </c>
      <c r="H60" s="21" t="n">
        <f aca="false">B60*fert_mesclun</f>
        <v>3520</v>
      </c>
      <c r="I60" s="21" t="n">
        <f aca="false">G60+H60</f>
        <v>10088.4083557129</v>
      </c>
      <c r="J60" s="21" t="n">
        <f aca="false">I60+costs_fixed</f>
        <v>30088.4083557129</v>
      </c>
      <c r="K60" s="21" t="n">
        <f aca="false">J60-J59</f>
        <v>2582.92068481445</v>
      </c>
      <c r="L60" s="21" t="n">
        <f aca="false">I60/B60</f>
        <v>2522.10208892822</v>
      </c>
      <c r="M60" s="21" t="n">
        <f aca="false">B60*price_mesclun-J60</f>
        <v>-19288.4083557129</v>
      </c>
      <c r="N60" s="8" t="str">
        <f aca="false">IF(F60&gt;temp_max,"INFEASIBLE",IF(AND(price_mesclun&gt;K60,price_mesclun&lt;K61),"&lt;-- P ~ MC",""))</f>
        <v/>
      </c>
      <c r="O60" s="26" t="n">
        <f aca="false">(B60+B59)/2</f>
        <v>3.5</v>
      </c>
      <c r="P60" s="21" t="n">
        <f aca="false">price_mesclun</f>
        <v>2700</v>
      </c>
    </row>
    <row r="61" customFormat="false" ht="14.25" hidden="false" customHeight="false" outlineLevel="0" collapsed="false">
      <c r="B61" s="20" t="n">
        <v>5</v>
      </c>
      <c r="C61" s="11" t="n">
        <f aca="false">B61*laborwk_mesclun*season_wks*(1+dim_mesclun)^B61</f>
        <v>239.418484565735</v>
      </c>
      <c r="D61" s="11" t="n">
        <f aca="false">MIN(perm_field_hrs,C61)</f>
        <v>239.418484565735</v>
      </c>
      <c r="E61" s="11" t="n">
        <f aca="false">C61-D61</f>
        <v>0</v>
      </c>
      <c r="F61" s="18" t="n">
        <f aca="false">E61/temp_hrs_each</f>
        <v>0</v>
      </c>
      <c r="G61" s="21" t="n">
        <f aca="false">D61*wage_perm+E61*wage_temp</f>
        <v>8313.14182519913</v>
      </c>
      <c r="H61" s="21" t="n">
        <f aca="false">B61*fert_mesclun</f>
        <v>4400</v>
      </c>
      <c r="I61" s="21" t="n">
        <f aca="false">G61+H61</f>
        <v>12713.1418251991</v>
      </c>
      <c r="J61" s="21" t="n">
        <f aca="false">I61+costs_fixed</f>
        <v>32713.1418251991</v>
      </c>
      <c r="K61" s="21" t="n">
        <f aca="false">J61-J60</f>
        <v>2624.73346948624</v>
      </c>
      <c r="L61" s="21" t="n">
        <f aca="false">I61/B61</f>
        <v>2542.62836503983</v>
      </c>
      <c r="M61" s="21" t="n">
        <f aca="false">B61*price_mesclun-J61</f>
        <v>-19213.1418251991</v>
      </c>
      <c r="N61" s="8" t="str">
        <f aca="false">IF(F61&gt;temp_max,"INFEASIBLE",IF(AND(price_mesclun&gt;K61,price_mesclun&lt;K62),"&lt;-- P ~ MC",""))</f>
        <v/>
      </c>
      <c r="O61" s="26" t="n">
        <f aca="false">(B61+B60)/2</f>
        <v>4.5</v>
      </c>
      <c r="P61" s="21" t="n">
        <f aca="false">price_mesclun</f>
        <v>2700</v>
      </c>
    </row>
    <row r="62" customFormat="false" ht="14.25" hidden="false" customHeight="false" outlineLevel="0" collapsed="false">
      <c r="B62" s="20" t="n">
        <v>6</v>
      </c>
      <c r="C62" s="11" t="n">
        <f aca="false">B62*laborwk_mesclun*season_wks*(1+dim_mesclun)^B62</f>
        <v>290.893458747368</v>
      </c>
      <c r="D62" s="11" t="n">
        <f aca="false">MIN(perm_field_hrs,C62)</f>
        <v>290.893458747368</v>
      </c>
      <c r="E62" s="11" t="n">
        <f aca="false">C62-D62</f>
        <v>0</v>
      </c>
      <c r="F62" s="18" t="n">
        <f aca="false">E62/temp_hrs_each</f>
        <v>0</v>
      </c>
      <c r="G62" s="21" t="n">
        <f aca="false">D62*wage_perm+E62*wage_temp</f>
        <v>10100.4673176169</v>
      </c>
      <c r="H62" s="21" t="n">
        <f aca="false">B62*fert_mesclun</f>
        <v>5280</v>
      </c>
      <c r="I62" s="21" t="n">
        <f aca="false">G62+H62</f>
        <v>15380.4673176169</v>
      </c>
      <c r="J62" s="21" t="n">
        <f aca="false">I62+costs_fixed</f>
        <v>35380.4673176169</v>
      </c>
      <c r="K62" s="21" t="n">
        <f aca="false">J62-J61</f>
        <v>2667.3254924178</v>
      </c>
      <c r="L62" s="21" t="n">
        <f aca="false">I62/B62</f>
        <v>2563.41121960282</v>
      </c>
      <c r="M62" s="21" t="n">
        <f aca="false">B62*price_mesclun-J62</f>
        <v>-19180.4673176169</v>
      </c>
      <c r="N62" s="8" t="str">
        <f aca="false">IF(F62&gt;temp_max,"INFEASIBLE",IF(AND(price_mesclun&gt;K62,price_mesclun&lt;K63),"&lt;-- P ~ MC",""))</f>
        <v>&lt;-- P ~ MC</v>
      </c>
      <c r="O62" s="26" t="n">
        <f aca="false">(B62+B61)/2</f>
        <v>5.5</v>
      </c>
      <c r="P62" s="21" t="n">
        <f aca="false">price_mesclun</f>
        <v>2700</v>
      </c>
    </row>
    <row r="63" customFormat="false" ht="14.25" hidden="false" customHeight="false" outlineLevel="0" collapsed="false">
      <c r="B63" s="20" t="n">
        <v>7</v>
      </c>
      <c r="C63" s="11" t="n">
        <f aca="false">B63*laborwk_mesclun*season_wks*(1+dim_mesclun)^B63</f>
        <v>343.617898145328</v>
      </c>
      <c r="D63" s="11" t="n">
        <f aca="false">MIN(perm_field_hrs,C63)</f>
        <v>343.617898145328</v>
      </c>
      <c r="E63" s="11" t="n">
        <f aca="false">C63-D63</f>
        <v>0</v>
      </c>
      <c r="F63" s="18" t="n">
        <f aca="false">E63/temp_hrs_each</f>
        <v>0</v>
      </c>
      <c r="G63" s="21" t="n">
        <f aca="false">D63*wage_perm+E63*wage_temp</f>
        <v>11931.177018935</v>
      </c>
      <c r="H63" s="21" t="n">
        <f aca="false">B63*fert_mesclun</f>
        <v>6160</v>
      </c>
      <c r="I63" s="21" t="n">
        <f aca="false">G63+H63</f>
        <v>18091.177018935</v>
      </c>
      <c r="J63" s="21" t="n">
        <f aca="false">I63+costs_fixed</f>
        <v>38091.177018935</v>
      </c>
      <c r="K63" s="21" t="n">
        <f aca="false">J63-J62</f>
        <v>2710.70970131808</v>
      </c>
      <c r="L63" s="21" t="n">
        <f aca="false">I63/B63</f>
        <v>2584.45385984786</v>
      </c>
      <c r="M63" s="21" t="n">
        <f aca="false">B63*price_mesclun-J63</f>
        <v>-19191.177018935</v>
      </c>
      <c r="N63" s="8" t="str">
        <f aca="false">IF(F63&gt;temp_max,"INFEASIBLE",IF(AND(price_mesclun&gt;K63,price_mesclun&lt;K64),"&lt;-- P ~ MC",""))</f>
        <v/>
      </c>
      <c r="O63" s="26" t="n">
        <f aca="false">(B63+B62)/2</f>
        <v>6.5</v>
      </c>
      <c r="P63" s="21" t="n">
        <f aca="false">price_mesclun</f>
        <v>2700</v>
      </c>
    </row>
    <row r="64" customFormat="false" ht="14.25" hidden="false" customHeight="false" outlineLevel="0" collapsed="false">
      <c r="B64" s="20" t="n">
        <v>8</v>
      </c>
      <c r="C64" s="11" t="n">
        <f aca="false">B64*laborwk_mesclun*season_wks*(1+dim_mesclun)^B64</f>
        <v>397.614996425308</v>
      </c>
      <c r="D64" s="11" t="n">
        <f aca="false">MIN(perm_field_hrs,C64)</f>
        <v>397.614996425308</v>
      </c>
      <c r="E64" s="11" t="n">
        <f aca="false">C64-D64</f>
        <v>0</v>
      </c>
      <c r="F64" s="18" t="n">
        <f aca="false">E64/temp_hrs_each</f>
        <v>0</v>
      </c>
      <c r="G64" s="21" t="n">
        <f aca="false">D64*wage_perm+E64*wage_temp</f>
        <v>13806.0762647677</v>
      </c>
      <c r="H64" s="21" t="n">
        <f aca="false">B64*fert_mesclun</f>
        <v>7040</v>
      </c>
      <c r="I64" s="21" t="n">
        <f aca="false">G64+H64</f>
        <v>20846.0762647677</v>
      </c>
      <c r="J64" s="21" t="n">
        <f aca="false">I64+costs_fixed</f>
        <v>40846.0762647676</v>
      </c>
      <c r="K64" s="21" t="n">
        <f aca="false">J64-J63</f>
        <v>2754.89924583264</v>
      </c>
      <c r="L64" s="21" t="n">
        <f aca="false">I64/B64</f>
        <v>2605.75953309596</v>
      </c>
      <c r="M64" s="21" t="n">
        <f aca="false">B64*price_mesclun-J64</f>
        <v>-19246.0762647676</v>
      </c>
      <c r="N64" s="8" t="str">
        <f aca="false">IF(F64&gt;temp_max,"INFEASIBLE",IF(AND(price_mesclun&gt;K64,price_mesclun&lt;K65),"&lt;-- P ~ MC",""))</f>
        <v/>
      </c>
      <c r="O64" s="26" t="n">
        <f aca="false">(B64+B63)/2</f>
        <v>7.5</v>
      </c>
      <c r="P64" s="21" t="n">
        <f aca="false">price_mesclun</f>
        <v>2700</v>
      </c>
    </row>
    <row r="65" customFormat="false" ht="14.25" hidden="false" customHeight="false" outlineLevel="0" collapsed="false">
      <c r="B65" s="20" t="n">
        <v>9</v>
      </c>
      <c r="C65" s="11" t="n">
        <f aca="false">B65*laborwk_mesclun*season_wks*(1+dim_mesclun)^B65</f>
        <v>452.908331865703</v>
      </c>
      <c r="D65" s="11" t="n">
        <f aca="false">MIN(perm_field_hrs,C65)</f>
        <v>452.908331865703</v>
      </c>
      <c r="E65" s="11" t="n">
        <f aca="false">C65-D65</f>
        <v>0</v>
      </c>
      <c r="F65" s="18" t="n">
        <f aca="false">E65/temp_hrs_each</f>
        <v>0</v>
      </c>
      <c r="G65" s="21" t="n">
        <f aca="false">D65*wage_perm+E65*wage_temp</f>
        <v>15725.9837453369</v>
      </c>
      <c r="H65" s="21" t="n">
        <f aca="false">B65*fert_mesclun</f>
        <v>7920</v>
      </c>
      <c r="I65" s="21" t="n">
        <f aca="false">G65+H65</f>
        <v>23645.9837453369</v>
      </c>
      <c r="J65" s="21" t="n">
        <f aca="false">I65+costs_fixed</f>
        <v>43645.9837453369</v>
      </c>
      <c r="K65" s="21" t="n">
        <f aca="false">J65-J64</f>
        <v>2799.90748056925</v>
      </c>
      <c r="L65" s="21" t="n">
        <f aca="false">I65/B65</f>
        <v>2627.33152725966</v>
      </c>
      <c r="M65" s="21" t="n">
        <f aca="false">B65*price_mesclun-J65</f>
        <v>-19345.9837453369</v>
      </c>
      <c r="N65" s="8" t="str">
        <f aca="false">IF(F65&gt;temp_max,"INFEASIBLE",IF(AND(price_mesclun&gt;K65,price_mesclun&lt;K66),"&lt;-- P ~ MC",""))</f>
        <v/>
      </c>
      <c r="O65" s="26" t="n">
        <f aca="false">(B65+B64)/2</f>
        <v>8.5</v>
      </c>
      <c r="P65" s="21" t="n">
        <f aca="false">price_mesclun</f>
        <v>2700</v>
      </c>
    </row>
    <row r="66" customFormat="false" ht="14.25" hidden="false" customHeight="false" outlineLevel="0" collapsed="false">
      <c r="B66" s="20" t="n">
        <v>10</v>
      </c>
      <c r="C66" s="11" t="n">
        <f aca="false">B66*laborwk_mesclun*season_wks*(1+dim_mesclun)^B66</f>
        <v>509.521873348916</v>
      </c>
      <c r="D66" s="11" t="n">
        <f aca="false">MIN(perm_field_hrs,C66)</f>
        <v>509.521873348916</v>
      </c>
      <c r="E66" s="11" t="n">
        <f aca="false">C66-D66</f>
        <v>0</v>
      </c>
      <c r="F66" s="18" t="n">
        <f aca="false">E66/temp_hrs_each</f>
        <v>0</v>
      </c>
      <c r="G66" s="21" t="n">
        <f aca="false">D66*wage_perm+E66*wage_temp</f>
        <v>17691.731713504</v>
      </c>
      <c r="H66" s="21" t="n">
        <f aca="false">B66*fert_mesclun</f>
        <v>8800</v>
      </c>
      <c r="I66" s="21" t="n">
        <f aca="false">G66+H66</f>
        <v>26491.731713504</v>
      </c>
      <c r="J66" s="21" t="n">
        <f aca="false">I66+costs_fixed</f>
        <v>46491.731713504</v>
      </c>
      <c r="K66" s="21" t="n">
        <f aca="false">J66-J65</f>
        <v>2845.74796816711</v>
      </c>
      <c r="L66" s="21" t="n">
        <f aca="false">I66/B66</f>
        <v>2649.1731713504</v>
      </c>
      <c r="M66" s="21" t="n">
        <f aca="false">B66*price_mesclun-J66</f>
        <v>-19491.731713504</v>
      </c>
      <c r="N66" s="8" t="str">
        <f aca="false">IF(F66&gt;temp_max,"INFEASIBLE",IF(AND(price_mesclun&gt;K66,price_mesclun&lt;K67),"&lt;-- P ~ MC",""))</f>
        <v/>
      </c>
      <c r="O66" s="26" t="n">
        <f aca="false">(B66+B65)/2</f>
        <v>9.5</v>
      </c>
      <c r="P66" s="21" t="n">
        <f aca="false">price_mesclun</f>
        <v>2700</v>
      </c>
    </row>
    <row r="67" customFormat="false" ht="14.25" hidden="false" customHeight="false" outlineLevel="0" collapsed="false">
      <c r="B67" s="20" t="n">
        <v>11</v>
      </c>
      <c r="C67" s="11" t="n">
        <f aca="false">B67*laborwk_mesclun*season_wks*(1+dim_mesclun)^B67</f>
        <v>567.479986442355</v>
      </c>
      <c r="D67" s="11" t="n">
        <f aca="false">MIN(perm_field_hrs,C67)</f>
        <v>567.479986442355</v>
      </c>
      <c r="E67" s="11" t="n">
        <f aca="false">C67-D67</f>
        <v>0</v>
      </c>
      <c r="F67" s="18" t="n">
        <f aca="false">E67/temp_hrs_each</f>
        <v>0</v>
      </c>
      <c r="G67" s="21" t="n">
        <f aca="false">D67*wage_perm+E67*wage_temp</f>
        <v>19704.1661959151</v>
      </c>
      <c r="H67" s="21" t="n">
        <f aca="false">B67*fert_mesclun</f>
        <v>9680</v>
      </c>
      <c r="I67" s="21" t="n">
        <f aca="false">G67+H67</f>
        <v>29384.1661959151</v>
      </c>
      <c r="J67" s="21" t="n">
        <f aca="false">I67+costs_fixed</f>
        <v>49384.1661959151</v>
      </c>
      <c r="K67" s="21" t="n">
        <f aca="false">J67-J66</f>
        <v>2892.43448241109</v>
      </c>
      <c r="L67" s="21" t="n">
        <f aca="false">I67/B67</f>
        <v>2671.28783599228</v>
      </c>
      <c r="M67" s="21" t="n">
        <f aca="false">B67*price_mesclun-J67</f>
        <v>-19684.1661959151</v>
      </c>
      <c r="N67" s="8" t="str">
        <f aca="false">IF(F67&gt;temp_max,"INFEASIBLE",IF(AND(price_mesclun&gt;K67,price_mesclun&lt;K68),"&lt;-- P ~ MC",""))</f>
        <v/>
      </c>
      <c r="O67" s="26" t="n">
        <f aca="false">(B67+B66)/2</f>
        <v>10.5</v>
      </c>
      <c r="P67" s="21" t="n">
        <f aca="false">price_mesclun</f>
        <v>2700</v>
      </c>
    </row>
    <row r="68" customFormat="false" ht="14.25" hidden="false" customHeight="false" outlineLevel="0" collapsed="false">
      <c r="B68" s="20" t="n">
        <v>12</v>
      </c>
      <c r="C68" s="11" t="n">
        <f aca="false">B68*laborwk_mesclun*season_wks*(1+dim_mesclun)^B68</f>
        <v>626.807439570419</v>
      </c>
      <c r="D68" s="11" t="n">
        <f aca="false">MIN(perm_field_hrs,C68)</f>
        <v>626.807439570419</v>
      </c>
      <c r="E68" s="11" t="n">
        <f aca="false">C68-D68</f>
        <v>0</v>
      </c>
      <c r="F68" s="18" t="n">
        <f aca="false">E68/temp_hrs_each</f>
        <v>0</v>
      </c>
      <c r="G68" s="21" t="n">
        <f aca="false">D68*wage_perm+E68*wage_temp</f>
        <v>21764.1472073062</v>
      </c>
      <c r="H68" s="21" t="n">
        <f aca="false">B68*fert_mesclun</f>
        <v>10560</v>
      </c>
      <c r="I68" s="21" t="n">
        <f aca="false">G68+H68</f>
        <v>32324.1472073062</v>
      </c>
      <c r="J68" s="21" t="n">
        <f aca="false">I68+costs_fixed</f>
        <v>52324.1472073062</v>
      </c>
      <c r="K68" s="21" t="n">
        <f aca="false">J68-J67</f>
        <v>2939.98101139112</v>
      </c>
      <c r="L68" s="21" t="n">
        <f aca="false">I68/B68</f>
        <v>2693.67893394218</v>
      </c>
      <c r="M68" s="21" t="n">
        <f aca="false">B68*price_mesclun-J68</f>
        <v>-19924.1472073062</v>
      </c>
      <c r="N68" s="8" t="str">
        <f aca="false">IF(F68&gt;temp_max,"INFEASIBLE",IF(AND(price_mesclun&gt;K68,price_mesclun&lt;K69),"&lt;-- P ~ MC",""))</f>
        <v/>
      </c>
      <c r="O68" s="26" t="n">
        <f aca="false">(B68+B67)/2</f>
        <v>11.5</v>
      </c>
      <c r="P68" s="21" t="n">
        <f aca="false">price_mesclun</f>
        <v>2700</v>
      </c>
    </row>
    <row r="69" customFormat="false" ht="14.25" hidden="false" customHeight="false" outlineLevel="0" collapsed="false">
      <c r="B69" s="20" t="n">
        <v>13</v>
      </c>
      <c r="C69" s="11" t="n">
        <f aca="false">B69*laborwk_mesclun*season_wks*(1+dim_mesclun)^B69</f>
        <v>687.529410278803</v>
      </c>
      <c r="D69" s="11" t="n">
        <f aca="false">MIN(perm_field_hrs,C69)</f>
        <v>687.529410278803</v>
      </c>
      <c r="E69" s="11" t="n">
        <f aca="false">C69-D69</f>
        <v>0</v>
      </c>
      <c r="F69" s="18" t="n">
        <f aca="false">E69/temp_hrs_each</f>
        <v>0</v>
      </c>
      <c r="G69" s="21" t="n">
        <f aca="false">D69*wage_perm+E69*wage_temp</f>
        <v>23872.548968014</v>
      </c>
      <c r="H69" s="21" t="n">
        <f aca="false">B69*fert_mesclun</f>
        <v>11440</v>
      </c>
      <c r="I69" s="21" t="n">
        <f aca="false">G69+H69</f>
        <v>35312.548968014</v>
      </c>
      <c r="J69" s="21" t="n">
        <f aca="false">I69+costs_fixed</f>
        <v>55312.548968014</v>
      </c>
      <c r="K69" s="21" t="n">
        <f aca="false">J69-J68</f>
        <v>2988.40176070778</v>
      </c>
      <c r="L69" s="21" t="n">
        <f aca="false">I69/B69</f>
        <v>2716.34992061646</v>
      </c>
      <c r="M69" s="21" t="n">
        <f aca="false">B69*price_mesclun-J69</f>
        <v>-20212.548968014</v>
      </c>
      <c r="N69" s="8" t="str">
        <f aca="false">IF(F69&gt;temp_max,"INFEASIBLE",IF(AND(price_mesclun&gt;K69,price_mesclun&lt;K70),"&lt;-- P ~ MC",""))</f>
        <v/>
      </c>
      <c r="O69" s="26" t="n">
        <f aca="false">(B69+B68)/2</f>
        <v>12.5</v>
      </c>
      <c r="P69" s="21" t="n">
        <f aca="false">price_mesclun</f>
        <v>2700</v>
      </c>
    </row>
    <row r="70" customFormat="false" ht="14.25" hidden="false" customHeight="false" outlineLevel="0" collapsed="false">
      <c r="B70" s="20" t="n">
        <v>14</v>
      </c>
      <c r="C70" s="11" t="n">
        <f aca="false">B70*laborwk_mesclun*season_wks*(1+dim_mesclun)^B70</f>
        <v>749.671491592464</v>
      </c>
      <c r="D70" s="11" t="n">
        <f aca="false">MIN(perm_field_hrs,C70)</f>
        <v>720</v>
      </c>
      <c r="E70" s="11" t="n">
        <f aca="false">C70-D70</f>
        <v>29.6714915924644</v>
      </c>
      <c r="F70" s="18" t="n">
        <f aca="false">E70/temp_hrs_each</f>
        <v>0.0206052024947669</v>
      </c>
      <c r="G70" s="21" t="n">
        <f aca="false">D70*wage_perm+E70*wage_temp</f>
        <v>25515.1300623692</v>
      </c>
      <c r="H70" s="21" t="n">
        <f aca="false">B70*fert_mesclun</f>
        <v>12320</v>
      </c>
      <c r="I70" s="21" t="n">
        <f aca="false">G70+H70</f>
        <v>37835.1300623692</v>
      </c>
      <c r="J70" s="21" t="n">
        <f aca="false">I70+costs_fixed</f>
        <v>57835.1300623692</v>
      </c>
      <c r="K70" s="21" t="n">
        <f aca="false">J70-J69</f>
        <v>2522.58109435517</v>
      </c>
      <c r="L70" s="21" t="n">
        <f aca="false">I70/B70</f>
        <v>2702.50929016923</v>
      </c>
      <c r="M70" s="21" t="n">
        <f aca="false">B70*price_mesclun-J70</f>
        <v>-20035.1300623692</v>
      </c>
      <c r="N70" s="8" t="str">
        <f aca="false">IF(F70&gt;temp_max,"INFEASIBLE",IF(AND(price_mesclun&gt;K70,price_mesclun&lt;K71),"&lt;-- P ~ MC",""))</f>
        <v/>
      </c>
      <c r="O70" s="26" t="n">
        <f aca="false">(B70+B69)/2</f>
        <v>13.5</v>
      </c>
      <c r="P70" s="21" t="n">
        <f aca="false">price_mesclun</f>
        <v>2700</v>
      </c>
    </row>
    <row r="71" customFormat="false" ht="14.25" hidden="false" customHeight="false" outlineLevel="0" collapsed="false">
      <c r="B71" s="20" t="n">
        <v>15</v>
      </c>
      <c r="C71" s="11" t="n">
        <f aca="false">B71*laborwk_mesclun*season_wks*(1+dim_mesclun)^B71</f>
        <v>813.259698468611</v>
      </c>
      <c r="D71" s="11" t="n">
        <f aca="false">MIN(perm_field_hrs,C71)</f>
        <v>720</v>
      </c>
      <c r="E71" s="11" t="n">
        <f aca="false">C71-D71</f>
        <v>93.2596984686107</v>
      </c>
      <c r="F71" s="18" t="n">
        <f aca="false">E71/temp_hrs_each</f>
        <v>0.0647636794920908</v>
      </c>
      <c r="G71" s="21" t="n">
        <f aca="false">D71*wage_perm+E71*wage_temp</f>
        <v>26619.0919873023</v>
      </c>
      <c r="H71" s="21" t="n">
        <f aca="false">B71*fert_mesclun</f>
        <v>13200</v>
      </c>
      <c r="I71" s="21" t="n">
        <f aca="false">G71+H71</f>
        <v>39819.0919873023</v>
      </c>
      <c r="J71" s="21" t="n">
        <f aca="false">I71+costs_fixed</f>
        <v>59819.0919873023</v>
      </c>
      <c r="K71" s="21" t="n">
        <f aca="false">J71-J70</f>
        <v>1983.96192493309</v>
      </c>
      <c r="L71" s="21" t="n">
        <f aca="false">I71/B71</f>
        <v>2654.60613248682</v>
      </c>
      <c r="M71" s="21" t="n">
        <f aca="false">B71*price_mesclun-J71</f>
        <v>-19319.0919873023</v>
      </c>
      <c r="N71" s="8" t="str">
        <f aca="false">IF(F71&gt;temp_max,"INFEASIBLE",IF(AND(price_mesclun&gt;K71,price_mesclun&lt;K72),"&lt;-- P ~ MC",""))</f>
        <v/>
      </c>
      <c r="O71" s="26" t="n">
        <f aca="false">(B71+B70)/2</f>
        <v>14.5</v>
      </c>
      <c r="P71" s="21" t="n">
        <f aca="false">price_mesclun</f>
        <v>2700</v>
      </c>
    </row>
    <row r="72" customFormat="false" ht="14.25" hidden="false" customHeight="false" outlineLevel="0" collapsed="false">
      <c r="B72" s="20" t="n">
        <v>16</v>
      </c>
      <c r="C72" s="11" t="n">
        <f aca="false">B72*laborwk_mesclun*season_wks*(1+dim_mesclun)^B72</f>
        <v>878.3204743461</v>
      </c>
      <c r="D72" s="11" t="n">
        <f aca="false">MIN(perm_field_hrs,C72)</f>
        <v>720</v>
      </c>
      <c r="E72" s="11" t="n">
        <f aca="false">C72-D72</f>
        <v>158.3204743461</v>
      </c>
      <c r="F72" s="18" t="n">
        <f aca="false">E72/temp_hrs_each</f>
        <v>0.109944773851458</v>
      </c>
      <c r="G72" s="21" t="n">
        <f aca="false">D72*wage_perm+E72*wage_temp</f>
        <v>27748.6193462865</v>
      </c>
      <c r="H72" s="21" t="n">
        <f aca="false">B72*fert_mesclun</f>
        <v>14080</v>
      </c>
      <c r="I72" s="21" t="n">
        <f aca="false">G72+H72</f>
        <v>41828.6193462865</v>
      </c>
      <c r="J72" s="21" t="n">
        <f aca="false">I72+costs_fixed</f>
        <v>61828.6193462865</v>
      </c>
      <c r="K72" s="21" t="n">
        <f aca="false">J72-J71</f>
        <v>2009.52735898419</v>
      </c>
      <c r="L72" s="21" t="n">
        <f aca="false">I72/B72</f>
        <v>2614.2887091429</v>
      </c>
      <c r="M72" s="21" t="n">
        <f aca="false">B72*price_mesclun-J72</f>
        <v>-18628.6193462865</v>
      </c>
      <c r="N72" s="8" t="str">
        <f aca="false">IF(F72&gt;temp_max,"INFEASIBLE",IF(AND(price_mesclun&gt;K72,price_mesclun&lt;K73),"&lt;-- P ~ MC",""))</f>
        <v/>
      </c>
      <c r="O72" s="26" t="n">
        <f aca="false">(B72+B71)/2</f>
        <v>15.5</v>
      </c>
      <c r="P72" s="21" t="n">
        <f aca="false">price_mesclun</f>
        <v>2700</v>
      </c>
    </row>
    <row r="73" customFormat="false" ht="14.25" hidden="false" customHeight="false" outlineLevel="0" collapsed="false">
      <c r="B73" s="20" t="n">
        <v>17</v>
      </c>
      <c r="C73" s="11" t="n">
        <f aca="false">B73*laborwk_mesclun*season_wks*(1+dim_mesclun)^B73</f>
        <v>944.88069779264</v>
      </c>
      <c r="D73" s="11" t="n">
        <f aca="false">MIN(perm_field_hrs,C73)</f>
        <v>720</v>
      </c>
      <c r="E73" s="11" t="n">
        <f aca="false">C73-D73</f>
        <v>224.88069779264</v>
      </c>
      <c r="F73" s="18" t="n">
        <f aca="false">E73/temp_hrs_each</f>
        <v>0.156167151244889</v>
      </c>
      <c r="G73" s="21" t="n">
        <f aca="false">D73*wage_perm+E73*wage_temp</f>
        <v>28904.1787811222</v>
      </c>
      <c r="H73" s="21" t="n">
        <f aca="false">B73*fert_mesclun</f>
        <v>14960</v>
      </c>
      <c r="I73" s="21" t="n">
        <f aca="false">G73+H73</f>
        <v>43864.1787811222</v>
      </c>
      <c r="J73" s="21" t="n">
        <f aca="false">I73+costs_fixed</f>
        <v>63864.1787811222</v>
      </c>
      <c r="K73" s="21" t="n">
        <f aca="false">J73-J72</f>
        <v>2035.55943483576</v>
      </c>
      <c r="L73" s="21" t="n">
        <f aca="false">I73/B73</f>
        <v>2580.24581065425</v>
      </c>
      <c r="M73" s="21" t="n">
        <f aca="false">B73*price_mesclun-J73</f>
        <v>-17964.1787811222</v>
      </c>
      <c r="N73" s="8" t="str">
        <f aca="false">IF(F73&gt;temp_max,"INFEASIBLE",IF(AND(price_mesclun&gt;K73,price_mesclun&lt;K74),"&lt;-- P ~ MC",""))</f>
        <v/>
      </c>
      <c r="O73" s="26" t="n">
        <f aca="false">(B73+B72)/2</f>
        <v>16.5</v>
      </c>
      <c r="P73" s="21" t="n">
        <f aca="false">price_mesclun</f>
        <v>2700</v>
      </c>
    </row>
    <row r="74" customFormat="false" ht="14.25" hidden="false" customHeight="false" outlineLevel="0" collapsed="false">
      <c r="B74" s="20" t="n">
        <v>18</v>
      </c>
      <c r="C74" s="11" t="n">
        <f aca="false">B74*laborwk_mesclun*season_wks*(1+dim_mesclun)^B74</f>
        <v>1012.96768925123</v>
      </c>
      <c r="D74" s="11" t="n">
        <f aca="false">MIN(perm_field_hrs,C74)</f>
        <v>720</v>
      </c>
      <c r="E74" s="11" t="n">
        <f aca="false">C74-D74</f>
        <v>292.967689251227</v>
      </c>
      <c r="F74" s="18" t="n">
        <f aca="false">E74/temp_hrs_each</f>
        <v>0.203449784202241</v>
      </c>
      <c r="G74" s="21" t="n">
        <f aca="false">D74*wage_perm+E74*wage_temp</f>
        <v>30086.244605056</v>
      </c>
      <c r="H74" s="21" t="n">
        <f aca="false">B74*fert_mesclun</f>
        <v>15840</v>
      </c>
      <c r="I74" s="21" t="n">
        <f aca="false">G74+H74</f>
        <v>45926.244605056</v>
      </c>
      <c r="J74" s="21" t="n">
        <f aca="false">I74+costs_fixed</f>
        <v>65926.244605056</v>
      </c>
      <c r="K74" s="21" t="n">
        <f aca="false">J74-J73</f>
        <v>2062.06582393381</v>
      </c>
      <c r="L74" s="21" t="n">
        <f aca="false">I74/B74</f>
        <v>2551.45803361422</v>
      </c>
      <c r="M74" s="21" t="n">
        <f aca="false">B74*price_mesclun-J74</f>
        <v>-17326.244605056</v>
      </c>
      <c r="N74" s="8" t="str">
        <f aca="false">IF(F74&gt;temp_max,"INFEASIBLE",IF(AND(price_mesclun&gt;K74,price_mesclun&lt;K75),"&lt;-- P ~ MC",""))</f>
        <v/>
      </c>
      <c r="O74" s="26" t="n">
        <f aca="false">(B74+B73)/2</f>
        <v>17.5</v>
      </c>
      <c r="P74" s="21" t="n">
        <f aca="false">price_mesclun</f>
        <v>2700</v>
      </c>
    </row>
    <row r="75" customFormat="false" ht="14.25" hidden="false" customHeight="false" outlineLevel="0" collapsed="false">
      <c r="B75" s="20" t="n">
        <v>19</v>
      </c>
      <c r="C75" s="11" t="n">
        <f aca="false">B75*laborwk_mesclun*season_wks*(1+dim_mesclun)^B75</f>
        <v>1082.60921788725</v>
      </c>
      <c r="D75" s="11" t="n">
        <f aca="false">MIN(perm_field_hrs,C75)</f>
        <v>720</v>
      </c>
      <c r="E75" s="11" t="n">
        <f aca="false">C75-D75</f>
        <v>362.609217887249</v>
      </c>
      <c r="F75" s="18" t="n">
        <f aca="false">E75/temp_hrs_each</f>
        <v>0.251811956866145</v>
      </c>
      <c r="G75" s="21" t="n">
        <f aca="false">D75*wage_perm+E75*wage_temp</f>
        <v>31295.2989216536</v>
      </c>
      <c r="H75" s="21" t="n">
        <f aca="false">B75*fert_mesclun</f>
        <v>16720</v>
      </c>
      <c r="I75" s="21" t="n">
        <f aca="false">G75+H75</f>
        <v>48015.2989216536</v>
      </c>
      <c r="J75" s="21" t="n">
        <f aca="false">I75+costs_fixed</f>
        <v>68015.2989216536</v>
      </c>
      <c r="K75" s="21" t="n">
        <f aca="false">J75-J74</f>
        <v>2089.0543165976</v>
      </c>
      <c r="L75" s="21" t="n">
        <f aca="false">I75/B75</f>
        <v>2527.12099587651</v>
      </c>
      <c r="M75" s="21" t="n">
        <f aca="false">B75*price_mesclun-J75</f>
        <v>-16715.2989216536</v>
      </c>
      <c r="N75" s="8" t="str">
        <f aca="false">IF(F75&gt;temp_max,"INFEASIBLE",IF(AND(price_mesclun&gt;K75,price_mesclun&lt;K76),"&lt;-- P ~ MC",""))</f>
        <v/>
      </c>
      <c r="O75" s="26" t="n">
        <f aca="false">(B75+B74)/2</f>
        <v>18.5</v>
      </c>
      <c r="P75" s="21" t="n">
        <f aca="false">price_mesclun</f>
        <v>2700</v>
      </c>
    </row>
    <row r="76" customFormat="false" ht="14.25" hidden="false" customHeight="false" outlineLevel="0" collapsed="false">
      <c r="B76" s="20" t="n">
        <v>20</v>
      </c>
      <c r="C76" s="11" t="n">
        <f aca="false">B76*laborwk_mesclun*season_wks*(1+dim_mesclun)^B76</f>
        <v>1153.83350853773</v>
      </c>
      <c r="D76" s="11" t="n">
        <f aca="false">MIN(perm_field_hrs,C76)</f>
        <v>720</v>
      </c>
      <c r="E76" s="11" t="n">
        <f aca="false">C76-D76</f>
        <v>433.833508537726</v>
      </c>
      <c r="F76" s="18" t="n">
        <f aca="false">E76/temp_hrs_each</f>
        <v>0.301273269817865</v>
      </c>
      <c r="G76" s="21" t="n">
        <f aca="false">D76*wage_perm+E76*wage_temp</f>
        <v>32531.8317454466</v>
      </c>
      <c r="H76" s="21" t="n">
        <f aca="false">B76*fert_mesclun</f>
        <v>17600</v>
      </c>
      <c r="I76" s="21" t="n">
        <f aca="false">G76+H76</f>
        <v>50131.8317454466</v>
      </c>
      <c r="J76" s="21" t="n">
        <f aca="false">I76+costs_fixed</f>
        <v>70131.8317454466</v>
      </c>
      <c r="K76" s="21" t="n">
        <f aca="false">J76-J75</f>
        <v>2116.53282379301</v>
      </c>
      <c r="L76" s="21" t="n">
        <f aca="false">I76/B76</f>
        <v>2506.59158727233</v>
      </c>
      <c r="M76" s="21" t="n">
        <f aca="false">B76*price_mesclun-J76</f>
        <v>-16131.8317454466</v>
      </c>
      <c r="N76" s="8" t="str">
        <f aca="false">IF(F76&gt;temp_max,"INFEASIBLE",IF(AND(price_mesclun&gt;K76,price_mesclun&lt;K77),"&lt;-- P ~ MC",""))</f>
        <v/>
      </c>
      <c r="O76" s="26" t="n">
        <f aca="false">(B76+B75)/2</f>
        <v>19.5</v>
      </c>
      <c r="P76" s="21" t="n">
        <f aca="false">price_mesclun</f>
        <v>2700</v>
      </c>
    </row>
    <row r="77" customFormat="false" ht="14.25" hidden="false" customHeight="false" outlineLevel="0" collapsed="false">
      <c r="B77" s="20" t="n">
        <v>21</v>
      </c>
      <c r="C77" s="11" t="n">
        <f aca="false">B77*laborwk_mesclun*season_wks*(1+dim_mesclun)^B77</f>
        <v>1226.66924876417</v>
      </c>
      <c r="D77" s="11" t="n">
        <f aca="false">MIN(perm_field_hrs,C77)</f>
        <v>720</v>
      </c>
      <c r="E77" s="11" t="n">
        <f aca="false">C77-D77</f>
        <v>506.66924876417</v>
      </c>
      <c r="F77" s="18" t="n">
        <f aca="false">E77/temp_hrs_each</f>
        <v>0.351853644975118</v>
      </c>
      <c r="G77" s="21" t="n">
        <f aca="false">D77*wage_perm+E77*wage_temp</f>
        <v>33796.341124378</v>
      </c>
      <c r="H77" s="21" t="n">
        <f aca="false">B77*fert_mesclun</f>
        <v>18480</v>
      </c>
      <c r="I77" s="21" t="n">
        <f aca="false">G77+H77</f>
        <v>52276.341124378</v>
      </c>
      <c r="J77" s="21" t="n">
        <f aca="false">I77+costs_fixed</f>
        <v>72276.3411243779</v>
      </c>
      <c r="K77" s="21" t="n">
        <f aca="false">J77-J76</f>
        <v>2144.50937893131</v>
      </c>
      <c r="L77" s="21" t="n">
        <f aca="false">I77/B77</f>
        <v>2489.34957735133</v>
      </c>
      <c r="M77" s="21" t="n">
        <f aca="false">B77*price_mesclun-J77</f>
        <v>-15576.3411243779</v>
      </c>
      <c r="N77" s="8" t="str">
        <f aca="false">IF(F77&gt;temp_max,"INFEASIBLE",IF(AND(price_mesclun&gt;K77,price_mesclun&lt;K78),"&lt;-- P ~ MC",""))</f>
        <v/>
      </c>
      <c r="O77" s="26" t="n">
        <f aca="false">(B77+B76)/2</f>
        <v>20.5</v>
      </c>
      <c r="P77" s="21" t="n">
        <f aca="false">price_mesclun</f>
        <v>2700</v>
      </c>
    </row>
    <row r="78" customFormat="false" ht="14.25" hidden="false" customHeight="false" outlineLevel="0" collapsed="false">
      <c r="B78" s="20" t="n">
        <v>22</v>
      </c>
      <c r="C78" s="11" t="n">
        <f aca="false">B78*laborwk_mesclun*season_wks*(1+dim_mesclun)^B78</f>
        <v>1301.14559601057</v>
      </c>
      <c r="D78" s="11" t="n">
        <f aca="false">MIN(perm_field_hrs,C78)</f>
        <v>720</v>
      </c>
      <c r="E78" s="11" t="n">
        <f aca="false">C78-D78</f>
        <v>581.145596010566</v>
      </c>
      <c r="F78" s="18" t="n">
        <f aca="false">E78/temp_hrs_each</f>
        <v>0.403573330562893</v>
      </c>
      <c r="G78" s="21" t="n">
        <f aca="false">D78*wage_perm+E78*wage_temp</f>
        <v>35089.3332640723</v>
      </c>
      <c r="H78" s="21" t="n">
        <f aca="false">B78*fert_mesclun</f>
        <v>19360</v>
      </c>
      <c r="I78" s="21" t="n">
        <f aca="false">G78+H78</f>
        <v>54449.3332640723</v>
      </c>
      <c r="J78" s="21" t="n">
        <f aca="false">I78+costs_fixed</f>
        <v>74449.3332640723</v>
      </c>
      <c r="K78" s="21" t="n">
        <f aca="false">J78-J77</f>
        <v>2172.99213969438</v>
      </c>
      <c r="L78" s="21" t="n">
        <f aca="false">I78/B78</f>
        <v>2474.96969382147</v>
      </c>
      <c r="M78" s="21" t="n">
        <f aca="false">B78*price_mesclun-J78</f>
        <v>-15049.3332640723</v>
      </c>
      <c r="N78" s="8" t="str">
        <f aca="false">IF(F78&gt;temp_max,"INFEASIBLE",IF(AND(price_mesclun&gt;K78,price_mesclun&lt;K79),"&lt;-- P ~ MC",""))</f>
        <v/>
      </c>
      <c r="O78" s="26" t="n">
        <f aca="false">(B78+B77)/2</f>
        <v>21.5</v>
      </c>
      <c r="P78" s="21" t="n">
        <f aca="false">price_mesclun</f>
        <v>2700</v>
      </c>
    </row>
    <row r="79" customFormat="false" ht="14.25" hidden="false" customHeight="false" outlineLevel="0" collapsed="false">
      <c r="B79" s="20" t="n">
        <v>23</v>
      </c>
      <c r="C79" s="11" t="n">
        <f aca="false">B79*laborwk_mesclun*season_wks*(1+dim_mesclun)^B79</f>
        <v>1377.292184868</v>
      </c>
      <c r="D79" s="11" t="n">
        <f aca="false">MIN(perm_field_hrs,C79)</f>
        <v>720</v>
      </c>
      <c r="E79" s="11" t="n">
        <f aca="false">C79-D79</f>
        <v>657.292184868002</v>
      </c>
      <c r="F79" s="18" t="n">
        <f aca="false">E79/temp_hrs_each</f>
        <v>0.456452906158335</v>
      </c>
      <c r="G79" s="21" t="n">
        <f aca="false">D79*wage_perm+E79*wage_temp</f>
        <v>36411.3226539584</v>
      </c>
      <c r="H79" s="21" t="n">
        <f aca="false">B79*fert_mesclun</f>
        <v>20240</v>
      </c>
      <c r="I79" s="21" t="n">
        <f aca="false">G79+H79</f>
        <v>56651.3226539584</v>
      </c>
      <c r="J79" s="21" t="n">
        <f aca="false">I79+costs_fixed</f>
        <v>76651.3226539584</v>
      </c>
      <c r="K79" s="21" t="n">
        <f aca="false">J79-J78</f>
        <v>2201.98938988605</v>
      </c>
      <c r="L79" s="21" t="n">
        <f aca="false">I79/B79</f>
        <v>2463.10098495471</v>
      </c>
      <c r="M79" s="21" t="n">
        <f aca="false">B79*price_mesclun-J79</f>
        <v>-14551.3226539584</v>
      </c>
      <c r="N79" s="8" t="str">
        <f aca="false">IF(F79&gt;temp_max,"INFEASIBLE",IF(AND(price_mesclun&gt;K79,price_mesclun&lt;K80),"&lt;-- P ~ MC",""))</f>
        <v/>
      </c>
      <c r="O79" s="26" t="n">
        <f aca="false">(B79+B78)/2</f>
        <v>22.5</v>
      </c>
      <c r="P79" s="21" t="n">
        <f aca="false">price_mesclun</f>
        <v>2700</v>
      </c>
    </row>
    <row r="80" customFormat="false" ht="14.25" hidden="false" customHeight="false" outlineLevel="0" collapsed="false">
      <c r="B80" s="20" t="n">
        <v>24</v>
      </c>
      <c r="C80" s="11" t="n">
        <f aca="false">B80*laborwk_mesclun*season_wks*(1+dim_mesclun)^B80</f>
        <v>1455.1391344475</v>
      </c>
      <c r="D80" s="11" t="n">
        <f aca="false">MIN(perm_field_hrs,C80)</f>
        <v>720</v>
      </c>
      <c r="E80" s="11" t="n">
        <f aca="false">C80-D80</f>
        <v>735.139134447498</v>
      </c>
      <c r="F80" s="18" t="n">
        <f aca="false">E80/temp_hrs_each</f>
        <v>0.510513287810763</v>
      </c>
      <c r="G80" s="21" t="n">
        <f aca="false">D80*wage_perm+E80*wage_temp</f>
        <v>37762.8321952691</v>
      </c>
      <c r="H80" s="21" t="n">
        <f aca="false">B80*fert_mesclun</f>
        <v>21120</v>
      </c>
      <c r="I80" s="21" t="n">
        <f aca="false">G80+H80</f>
        <v>58882.8321952691</v>
      </c>
      <c r="J80" s="21" t="n">
        <f aca="false">I80+costs_fixed</f>
        <v>78882.8321952691</v>
      </c>
      <c r="K80" s="21" t="n">
        <f aca="false">J80-J79</f>
        <v>2231.50954131069</v>
      </c>
      <c r="L80" s="21" t="n">
        <f aca="false">I80/B80</f>
        <v>2453.45134146954</v>
      </c>
      <c r="M80" s="21" t="n">
        <f aca="false">B80*price_mesclun-J80</f>
        <v>-14082.8321952691</v>
      </c>
      <c r="N80" s="8" t="str">
        <f aca="false">IF(F80&gt;temp_max,"INFEASIBLE",IF(AND(price_mesclun&gt;K80,price_mesclun&lt;K81),"&lt;-- P ~ MC",""))</f>
        <v/>
      </c>
      <c r="O80" s="26" t="n">
        <f aca="false">(B80+B79)/2</f>
        <v>23.5</v>
      </c>
      <c r="P80" s="21" t="n">
        <f aca="false">price_mesclun</f>
        <v>2700</v>
      </c>
    </row>
    <row r="81" customFormat="false" ht="14.25" hidden="false" customHeight="false" outlineLevel="0" collapsed="false">
      <c r="B81" s="20" t="n">
        <v>25</v>
      </c>
      <c r="C81" s="11" t="n">
        <f aca="false">B81*laborwk_mesclun*season_wks*(1+dim_mesclun)^B81</f>
        <v>1534.7170558626</v>
      </c>
      <c r="D81" s="11" t="n">
        <f aca="false">MIN(perm_field_hrs,C81)</f>
        <v>720</v>
      </c>
      <c r="E81" s="11" t="n">
        <f aca="false">C81-D81</f>
        <v>814.717055862596</v>
      </c>
      <c r="F81" s="18" t="n">
        <f aca="false">E81/temp_hrs_each</f>
        <v>0.565775733237914</v>
      </c>
      <c r="G81" s="21" t="n">
        <f aca="false">D81*wage_perm+E81*wage_temp</f>
        <v>39144.3933309478</v>
      </c>
      <c r="H81" s="21" t="n">
        <f aca="false">B81*fert_mesclun</f>
        <v>22000</v>
      </c>
      <c r="I81" s="21" t="n">
        <f aca="false">G81+H81</f>
        <v>61144.3933309478</v>
      </c>
      <c r="J81" s="21" t="n">
        <f aca="false">I81+costs_fixed</f>
        <v>81144.3933309479</v>
      </c>
      <c r="K81" s="21" t="n">
        <f aca="false">J81-J80</f>
        <v>2261.56113567879</v>
      </c>
      <c r="L81" s="21" t="n">
        <f aca="false">I81/B81</f>
        <v>2445.77573323791</v>
      </c>
      <c r="M81" s="21" t="n">
        <f aca="false">B81*price_mesclun-J81</f>
        <v>-13644.3933309478</v>
      </c>
      <c r="N81" s="8" t="str">
        <f aca="false">IF(F81&gt;temp_max,"INFEASIBLE",IF(AND(price_mesclun&gt;K81,price_mesclun&lt;K82),"&lt;-- P ~ MC",""))</f>
        <v/>
      </c>
      <c r="O81" s="26" t="n">
        <f aca="false">(B81+B80)/2</f>
        <v>24.5</v>
      </c>
      <c r="P81" s="21" t="n">
        <f aca="false">price_mesclun</f>
        <v>2700</v>
      </c>
    </row>
    <row r="82" customFormat="false" ht="14.25" hidden="false" customHeight="false" outlineLevel="0" collapsed="false">
      <c r="B82" s="20" t="n">
        <v>26</v>
      </c>
      <c r="C82" s="11" t="n">
        <f aca="false">B82*laborwk_mesclun*season_wks*(1+dim_mesclun)^B82</f>
        <v>1616.05705982331</v>
      </c>
      <c r="D82" s="11" t="n">
        <f aca="false">MIN(perm_field_hrs,C82)</f>
        <v>720</v>
      </c>
      <c r="E82" s="11" t="n">
        <f aca="false">C82-D82</f>
        <v>896.057059823313</v>
      </c>
      <c r="F82" s="18" t="n">
        <f aca="false">E82/temp_hrs_each</f>
        <v>0.622261847099523</v>
      </c>
      <c r="G82" s="21" t="n">
        <f aca="false">D82*wage_perm+E82*wage_temp</f>
        <v>40556.5461774881</v>
      </c>
      <c r="H82" s="21" t="n">
        <f aca="false">B82*fert_mesclun</f>
        <v>22880</v>
      </c>
      <c r="I82" s="21" t="n">
        <f aca="false">G82+H82</f>
        <v>63436.5461774881</v>
      </c>
      <c r="J82" s="21" t="n">
        <f aca="false">I82+costs_fixed</f>
        <v>83436.5461774881</v>
      </c>
      <c r="K82" s="21" t="n">
        <f aca="false">J82-J81</f>
        <v>2292.15284654022</v>
      </c>
      <c r="L82" s="21" t="n">
        <f aca="false">I82/B82</f>
        <v>2439.86716067262</v>
      </c>
      <c r="M82" s="21" t="n">
        <f aca="false">B82*price_mesclun-J82</f>
        <v>-13236.5461774881</v>
      </c>
      <c r="N82" s="8" t="str">
        <f aca="false">IF(F82&gt;temp_max,"INFEASIBLE",IF(AND(price_mesclun&gt;K82,price_mesclun&lt;K83),"&lt;-- P ~ MC",""))</f>
        <v/>
      </c>
      <c r="O82" s="26" t="n">
        <f aca="false">(B82+B81)/2</f>
        <v>25.5</v>
      </c>
      <c r="P82" s="21" t="n">
        <f aca="false">price_mesclun</f>
        <v>2700</v>
      </c>
    </row>
    <row r="83" customFormat="false" ht="14.25" hidden="false" customHeight="false" outlineLevel="0" collapsed="false">
      <c r="B83" s="20" t="n">
        <v>27</v>
      </c>
      <c r="C83" s="11" t="n">
        <f aca="false">B83*laborwk_mesclun*season_wks*(1+dim_mesclun)^B83</f>
        <v>1699.19076434307</v>
      </c>
      <c r="D83" s="11" t="n">
        <f aca="false">MIN(perm_field_hrs,C83)</f>
        <v>720</v>
      </c>
      <c r="E83" s="11" t="n">
        <f aca="false">C83-D83</f>
        <v>979.19076434307</v>
      </c>
      <c r="F83" s="18" t="n">
        <f aca="false">E83/temp_hrs_each</f>
        <v>0.679993586349354</v>
      </c>
      <c r="G83" s="21" t="n">
        <f aca="false">D83*wage_perm+E83*wage_temp</f>
        <v>41999.8396587339</v>
      </c>
      <c r="H83" s="21" t="n">
        <f aca="false">B83*fert_mesclun</f>
        <v>23760</v>
      </c>
      <c r="I83" s="21" t="n">
        <f aca="false">G83+H83</f>
        <v>65759.8396587339</v>
      </c>
      <c r="J83" s="21" t="n">
        <f aca="false">I83+costs_fixed</f>
        <v>85759.8396587339</v>
      </c>
      <c r="K83" s="21" t="n">
        <f aca="false">J83-J82</f>
        <v>2323.29348124578</v>
      </c>
      <c r="L83" s="21" t="n">
        <f aca="false">I83/B83</f>
        <v>2435.54961699014</v>
      </c>
      <c r="M83" s="21" t="n">
        <f aca="false">B83*price_mesclun-J83</f>
        <v>-12859.8396587339</v>
      </c>
      <c r="N83" s="8" t="str">
        <f aca="false">IF(F83&gt;temp_max,"INFEASIBLE",IF(AND(price_mesclun&gt;K83,price_mesclun&lt;K84),"&lt;-- P ~ MC",""))</f>
        <v/>
      </c>
      <c r="O83" s="26" t="n">
        <f aca="false">(B83+B82)/2</f>
        <v>26.5</v>
      </c>
      <c r="P83" s="21" t="n">
        <f aca="false">price_mesclun</f>
        <v>2700</v>
      </c>
    </row>
    <row r="84" customFormat="false" ht="14.25" hidden="false" customHeight="false" outlineLevel="0" collapsed="false">
      <c r="B84" s="20" t="n">
        <v>28</v>
      </c>
      <c r="C84" s="11" t="n">
        <f aca="false">B84*laborwk_mesclun*season_wks*(1+dim_mesclun)^B84</f>
        <v>1784.15030256022</v>
      </c>
      <c r="D84" s="11" t="n">
        <f aca="false">MIN(perm_field_hrs,C84)</f>
        <v>720</v>
      </c>
      <c r="E84" s="11" t="n">
        <f aca="false">C84-D84</f>
        <v>1064.15030256022</v>
      </c>
      <c r="F84" s="18" t="n">
        <f aca="false">E84/temp_hrs_each</f>
        <v>0.738993265666822</v>
      </c>
      <c r="G84" s="21" t="n">
        <f aca="false">D84*wage_perm+E84*wage_temp</f>
        <v>43474.8316416705</v>
      </c>
      <c r="H84" s="21" t="n">
        <f aca="false">B84*fert_mesclun</f>
        <v>24640</v>
      </c>
      <c r="I84" s="21" t="n">
        <f aca="false">G84+H84</f>
        <v>68114.8316416706</v>
      </c>
      <c r="J84" s="21" t="n">
        <f aca="false">I84+costs_fixed</f>
        <v>88114.8316416706</v>
      </c>
      <c r="K84" s="21" t="n">
        <f aca="false">J84-J83</f>
        <v>2354.9919829367</v>
      </c>
      <c r="L84" s="21" t="n">
        <f aca="false">I84/B84</f>
        <v>2432.67255863109</v>
      </c>
      <c r="M84" s="21" t="n">
        <f aca="false">B84*price_mesclun-J84</f>
        <v>-12514.8316416706</v>
      </c>
      <c r="N84" s="8" t="str">
        <f aca="false">IF(F84&gt;temp_max,"INFEASIBLE",IF(AND(price_mesclun&gt;K84,price_mesclun&lt;K85),"&lt;-- P ~ MC",""))</f>
        <v/>
      </c>
      <c r="O84" s="26" t="n">
        <f aca="false">(B84+B83)/2</f>
        <v>27.5</v>
      </c>
      <c r="P84" s="21" t="n">
        <f aca="false">price_mesclun</f>
        <v>2700</v>
      </c>
    </row>
    <row r="85" customFormat="false" ht="14.25" hidden="false" customHeight="false" outlineLevel="0" collapsed="false">
      <c r="B85" s="20" t="n">
        <v>29</v>
      </c>
      <c r="C85" s="11" t="n">
        <f aca="false">B85*laborwk_mesclun*season_wks*(1+dim_mesclun)^B85</f>
        <v>1870.96833067588</v>
      </c>
      <c r="D85" s="11" t="n">
        <f aca="false">MIN(perm_field_hrs,C85)</f>
        <v>720</v>
      </c>
      <c r="E85" s="11" t="n">
        <f aca="false">C85-D85</f>
        <v>1150.96833067588</v>
      </c>
      <c r="F85" s="18" t="n">
        <f aca="false">E85/temp_hrs_each</f>
        <v>0.799283562969359</v>
      </c>
      <c r="G85" s="21" t="n">
        <f aca="false">D85*wage_perm+E85*wage_temp</f>
        <v>44982.089074234</v>
      </c>
      <c r="H85" s="21" t="n">
        <f aca="false">B85*fert_mesclun</f>
        <v>25520</v>
      </c>
      <c r="I85" s="21" t="n">
        <f aca="false">G85+H85</f>
        <v>70502.089074234</v>
      </c>
      <c r="J85" s="21" t="n">
        <f aca="false">I85+costs_fixed</f>
        <v>90502.089074234</v>
      </c>
      <c r="K85" s="21" t="n">
        <f aca="false">J85-J84</f>
        <v>2387.25743256342</v>
      </c>
      <c r="L85" s="21" t="n">
        <f aca="false">I85/B85</f>
        <v>2431.10651980117</v>
      </c>
      <c r="M85" s="21" t="n">
        <f aca="false">B85*price_mesclun-J85</f>
        <v>-12202.089074234</v>
      </c>
      <c r="N85" s="8" t="str">
        <f aca="false">IF(F85&gt;temp_max,"INFEASIBLE",IF(AND(price_mesclun&gt;K85,price_mesclun&lt;K86),"&lt;-- P ~ MC",""))</f>
        <v/>
      </c>
      <c r="O85" s="26" t="n">
        <f aca="false">(B85+B84)/2</f>
        <v>28.5</v>
      </c>
      <c r="P85" s="21" t="n">
        <f aca="false">price_mesclun</f>
        <v>2700</v>
      </c>
    </row>
    <row r="86" customFormat="false" ht="14.25" hidden="false" customHeight="false" outlineLevel="0" collapsed="false">
      <c r="B86" s="20" t="n">
        <v>30</v>
      </c>
      <c r="C86" s="11" t="n">
        <f aca="false">B86*laborwk_mesclun*season_wks*(1+dim_mesclun)^B86</f>
        <v>1959.67803600965</v>
      </c>
      <c r="D86" s="11" t="n">
        <f aca="false">MIN(perm_field_hrs,C86)</f>
        <v>720</v>
      </c>
      <c r="E86" s="11" t="n">
        <f aca="false">C86-D86</f>
        <v>1239.67803600965</v>
      </c>
      <c r="F86" s="18" t="n">
        <f aca="false">E86/temp_hrs_each</f>
        <v>0.860887525006699</v>
      </c>
      <c r="G86" s="21" t="n">
        <f aca="false">D86*wage_perm+E86*wage_temp</f>
        <v>46522.1881251675</v>
      </c>
      <c r="H86" s="21" t="n">
        <f aca="false">B86*fert_mesclun</f>
        <v>26400</v>
      </c>
      <c r="I86" s="21" t="n">
        <f aca="false">G86+H86</f>
        <v>72922.1881251675</v>
      </c>
      <c r="J86" s="21" t="n">
        <f aca="false">I86+costs_fixed</f>
        <v>92922.1881251675</v>
      </c>
      <c r="K86" s="21" t="n">
        <f aca="false">J86-J85</f>
        <v>2420.09905093351</v>
      </c>
      <c r="L86" s="21" t="n">
        <f aca="false">I86/B86</f>
        <v>2430.73960417225</v>
      </c>
      <c r="M86" s="21" t="n">
        <f aca="false">B86*price_mesclun-J86</f>
        <v>-11922.1881251675</v>
      </c>
      <c r="N86" s="8" t="str">
        <f aca="false">IF(F86&gt;temp_max,"INFEASIBLE","")</f>
        <v/>
      </c>
      <c r="O86" s="26" t="n">
        <f aca="false">(B86+B85)/2</f>
        <v>29.5</v>
      </c>
      <c r="P86" s="21" t="n">
        <f aca="false">price_mesclun</f>
        <v>2700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2026-07-07T13:11:40Z</dcterms:created>
  <dc:creator>openpyxl</dc:creator>
  <dc:description/>
  <dc:language>en-US</dc:language>
  <cp:lastModifiedBy/>
  <dcterms:modified xsi:type="dcterms:W3CDTF">2026-07-31T12:34:14Z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