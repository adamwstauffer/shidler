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dler\courses\BUS-620-Micro-And-Macro-Economics\ignore\in-progess\imperfect-competition-marginal-revenue\"/>
    </mc:Choice>
  </mc:AlternateContent>
  <xr:revisionPtr revIDLastSave="0" documentId="8_{EA703A20-F7A1-4F11-8BD9-CF1BD81B6CBA}" xr6:coauthVersionLast="47" xr6:coauthVersionMax="47" xr10:uidLastSave="{00000000-0000-0000-0000-000000000000}"/>
  <bookViews>
    <workbookView xWindow="-110" yWindow="-110" windowWidth="25820" windowHeight="15500" xr2:uid="{750B6EAC-4A7F-47CA-88CA-8B36BD073AE7}"/>
  </bookViews>
  <sheets>
    <sheet name="worksheet" sheetId="3" r:id="rId1"/>
  </sheets>
  <definedNames>
    <definedName name="corn_FC">worksheet!$C$18</definedName>
    <definedName name="corn_MC_slope">worksheet!$C$11</definedName>
    <definedName name="corn_Output_optimal">worksheet!$C$13</definedName>
    <definedName name="corn_P">worksheet!$C$15</definedName>
    <definedName name="corn_Profit_optimal">worksheet!$C$23</definedName>
    <definedName name="corn_Revenue_optimal">worksheet!$C$16</definedName>
    <definedName name="corn_TC">worksheet!$C$20</definedName>
    <definedName name="corn_VC">worksheet!$C$19</definedName>
    <definedName name="cornGMO_D_int">worksheet!$H$6</definedName>
    <definedName name="cornGMO_D_slope">worksheet!$H$4</definedName>
    <definedName name="cornGMO_FC" localSheetId="0">worksheet!$H$18</definedName>
    <definedName name="cornGMO_MC_intercept" localSheetId="0">worksheet!$D$15</definedName>
    <definedName name="cornGMO_MC_optimal" localSheetId="0">worksheet!$H$21</definedName>
    <definedName name="cornGMO_MC_slope" localSheetId="0">worksheet!$H$11</definedName>
    <definedName name="cornGMO_MR_int">worksheet!$H$7</definedName>
    <definedName name="cornGMO_MR_slope">worksheet!$H$5</definedName>
    <definedName name="cornGMO_Output_optimal">worksheet!$H$13</definedName>
    <definedName name="cornGMO_P_optimal">worksheet!$H$15</definedName>
    <definedName name="cornGMO_Profit_optimal">worksheet!$H$23</definedName>
    <definedName name="cornGMO_Revenue_optimal" localSheetId="0">worksheet!$H$16</definedName>
    <definedName name="cornGMO_TC_optimal" localSheetId="0">worksheet!$H$22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C19" i="3"/>
  <c r="C20" i="3" s="1"/>
  <c r="H8" i="3"/>
  <c r="H4" i="3" s="1"/>
  <c r="H7" i="3"/>
  <c r="I24" i="3"/>
  <c r="I19" i="3"/>
  <c r="I22" i="3"/>
  <c r="I20" i="3"/>
  <c r="I23" i="3"/>
  <c r="I21" i="3"/>
  <c r="D24" i="3"/>
  <c r="D23" i="3"/>
  <c r="I15" i="3"/>
  <c r="I16" i="3"/>
  <c r="D20" i="3"/>
  <c r="D16" i="3"/>
  <c r="D19" i="3"/>
  <c r="C16" i="3" l="1"/>
  <c r="H15" i="3"/>
  <c r="H20" i="3" l="1"/>
  <c r="H16" i="3" l="1"/>
  <c r="H21" i="3"/>
  <c r="H22" i="3" s="1"/>
  <c r="C23" i="3" l="1"/>
  <c r="C24" i="3" s="1"/>
  <c r="H19" i="3"/>
  <c r="H23" i="3" l="1"/>
  <c r="H24" i="3" s="1"/>
</calcChain>
</file>

<file path=xl/sharedStrings.xml><?xml version="1.0" encoding="utf-8"?>
<sst xmlns="http://schemas.openxmlformats.org/spreadsheetml/2006/main" count="40" uniqueCount="28">
  <si>
    <t>Demand</t>
  </si>
  <si>
    <t>D Int</t>
  </si>
  <si>
    <t>MR Int</t>
  </si>
  <si>
    <t>Price @ opt</t>
  </si>
  <si>
    <t>Slope D GMO Corn</t>
  </si>
  <si>
    <t>Slope MR GMO Corn</t>
  </si>
  <si>
    <t>Slope D GMO Corn @ 1m</t>
  </si>
  <si>
    <t>Perfect</t>
  </si>
  <si>
    <t>Gain/Loss per</t>
  </si>
  <si>
    <t>Optimal output</t>
  </si>
  <si>
    <t>Supply</t>
  </si>
  <si>
    <t>Slope MC</t>
  </si>
  <si>
    <t>Market Price</t>
  </si>
  <si>
    <t>Intercept MC</t>
  </si>
  <si>
    <t>Fixed Costs</t>
  </si>
  <si>
    <t>Variable Costs</t>
  </si>
  <si>
    <t>Total Costs</t>
  </si>
  <si>
    <t>Revenue @ opt</t>
  </si>
  <si>
    <t>Profit @ opt</t>
  </si>
  <si>
    <t>=corn_P/corn_MC_slope</t>
  </si>
  <si>
    <t>??</t>
  </si>
  <si>
    <t>&lt;- hint: P = MC</t>
  </si>
  <si>
    <t>&lt;- hint: MR = MC</t>
  </si>
  <si>
    <t>=cornGMO_MR_int / (cornGMO_MC_slope - cornGMO_MR_slope)</t>
  </si>
  <si>
    <t>=cornGMO_D_slope*2</t>
  </si>
  <si>
    <t>Perfect or Imperfect?</t>
  </si>
  <si>
    <t>MR @ opt</t>
  </si>
  <si>
    <t>MC @ 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</si>
</sst>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(* #,##0.0000000_);_(* \(#,##0.0000000\);_(* &quot;-&quot;??_);_(@_)"/>
    <numFmt numFmtId="167" formatCode="_(* #,##0.000000_);_(* \(#,##0.000000\);_(* &quot;-&quot;??_);_(@_)"/>
    <numFmt numFmtId="168" formatCode="_(* #,##0.00000000_);_(* \(#,##0.00000000\);_(* &quot;-&quot;??_);_(@_)"/>
    <numFmt numFmtId="169" formatCode="_(* #,##0.000000000_);_(* \(#,##0.0000000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rgb="FF0070C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i/>
      <sz val="18"/>
      <color rgb="FF0070C0"/>
      <name val="Aptos Narrow"/>
      <family val="2"/>
      <scheme val="minor"/>
    </font>
    <font>
      <sz val="18"/>
      <color theme="0" tint="-0.1499984740745262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66" fontId="2" fillId="5" borderId="0" xfId="0" applyNumberFormat="1" applyFont="1" applyFill="1" applyAlignment="1">
      <alignment horizontal="left" vertical="center"/>
    </xf>
    <xf numFmtId="44" fontId="2" fillId="2" borderId="0" xfId="2" applyFont="1" applyFill="1" applyBorder="1" applyAlignment="1">
      <alignment horizontal="left" vertical="center"/>
    </xf>
    <xf numFmtId="168" fontId="2" fillId="2" borderId="0" xfId="1" applyNumberFormat="1" applyFont="1" applyFill="1" applyBorder="1" applyAlignment="1">
      <alignment horizontal="left" vertical="center"/>
    </xf>
    <xf numFmtId="169" fontId="2" fillId="2" borderId="0" xfId="1" applyNumberFormat="1" applyFont="1" applyFill="1" applyBorder="1" applyAlignment="1">
      <alignment horizontal="left" vertical="center"/>
    </xf>
    <xf numFmtId="43" fontId="2" fillId="2" borderId="0" xfId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5" fontId="2" fillId="5" borderId="0" xfId="1" applyNumberFormat="1" applyFont="1" applyFill="1" applyBorder="1" applyAlignment="1">
      <alignment horizontal="left" vertical="center"/>
    </xf>
    <xf numFmtId="164" fontId="4" fillId="5" borderId="0" xfId="2" applyNumberFormat="1" applyFont="1" applyFill="1" applyBorder="1" applyAlignment="1">
      <alignment horizontal="left" vertical="center"/>
    </xf>
    <xf numFmtId="164" fontId="2" fillId="5" borderId="0" xfId="2" applyNumberFormat="1" applyFont="1" applyFill="1" applyBorder="1" applyAlignment="1">
      <alignment horizontal="left" vertical="center"/>
    </xf>
    <xf numFmtId="164" fontId="4" fillId="5" borderId="0" xfId="0" applyNumberFormat="1" applyFont="1" applyFill="1" applyAlignment="1">
      <alignment horizontal="left" vertical="center"/>
    </xf>
    <xf numFmtId="44" fontId="4" fillId="5" borderId="0" xfId="0" applyNumberFormat="1" applyFont="1" applyFill="1" applyAlignment="1">
      <alignment horizontal="left" vertical="center"/>
    </xf>
    <xf numFmtId="165" fontId="2" fillId="2" borderId="0" xfId="1" applyNumberFormat="1" applyFont="1" applyFill="1" applyBorder="1" applyAlignment="1">
      <alignment horizontal="left" vertical="center"/>
    </xf>
    <xf numFmtId="164" fontId="4" fillId="4" borderId="0" xfId="2" applyNumberFormat="1" applyFont="1" applyFill="1" applyBorder="1" applyAlignment="1">
      <alignment horizontal="left" vertical="center"/>
    </xf>
    <xf numFmtId="166" fontId="6" fillId="5" borderId="0" xfId="0" applyNumberFormat="1" applyFont="1" applyFill="1" applyAlignment="1">
      <alignment horizontal="left" vertical="center"/>
    </xf>
    <xf numFmtId="164" fontId="4" fillId="2" borderId="0" xfId="2" applyNumberFormat="1" applyFont="1" applyFill="1" applyBorder="1" applyAlignment="1">
      <alignment horizontal="left" vertical="center"/>
    </xf>
    <xf numFmtId="164" fontId="5" fillId="4" borderId="0" xfId="2" applyNumberFormat="1" applyFont="1" applyFill="1" applyBorder="1" applyAlignment="1">
      <alignment horizontal="left" vertical="center"/>
    </xf>
    <xf numFmtId="0" fontId="7" fillId="5" borderId="0" xfId="0" quotePrefix="1" applyFont="1" applyFill="1" applyAlignment="1">
      <alignment horizontal="left" vertical="center"/>
    </xf>
    <xf numFmtId="167" fontId="5" fillId="8" borderId="1" xfId="1" applyNumberFormat="1" applyFont="1" applyFill="1" applyBorder="1" applyAlignment="1">
      <alignment horizontal="center" vertical="center"/>
    </xf>
    <xf numFmtId="165" fontId="5" fillId="8" borderId="1" xfId="1" applyNumberFormat="1" applyFont="1" applyFill="1" applyBorder="1" applyAlignment="1">
      <alignment horizontal="center" vertical="center"/>
    </xf>
    <xf numFmtId="166" fontId="4" fillId="2" borderId="0" xfId="1" applyNumberFormat="1" applyFont="1" applyFill="1" applyBorder="1" applyAlignment="1">
      <alignment horizontal="left" vertical="center"/>
    </xf>
    <xf numFmtId="165" fontId="4" fillId="2" borderId="0" xfId="1" applyNumberFormat="1" applyFont="1" applyFill="1" applyBorder="1" applyAlignment="1">
      <alignment horizontal="left" vertical="center"/>
    </xf>
    <xf numFmtId="43" fontId="4" fillId="2" borderId="0" xfId="1" applyFont="1" applyFill="1" applyBorder="1" applyAlignment="1">
      <alignment horizontal="left" vertical="center"/>
    </xf>
    <xf numFmtId="166" fontId="3" fillId="5" borderId="0" xfId="0" applyNumberFormat="1" applyFont="1" applyFill="1" applyAlignment="1">
      <alignment horizontal="left" vertical="center"/>
    </xf>
    <xf numFmtId="166" fontId="4" fillId="5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190499</xdr:colOff>
      <xdr:row>0</xdr:row>
      <xdr:rowOff>254000</xdr:rowOff>
    </xdr:from>
    <xdr:to>
      <xdr:col>4</xdr:col>
      <xdr:colOff>781049</xdr:colOff>
      <xdr:row>11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E80DD7-480A-9929-5D6E-52C0CB29C8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7949" y="254000"/>
          <a:ext cx="36576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196850</xdr:colOff>
      <xdr:row>1</xdr:row>
      <xdr:rowOff>6350</xdr:rowOff>
    </xdr:from>
    <xdr:to>
      <xdr:col>13</xdr:col>
      <xdr:colOff>527050</xdr:colOff>
      <xdr:row>11</xdr:row>
      <xdr:rowOff>203200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2311CC-6E28-4DA1-49FB-04775B9BB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41300" y="304800"/>
          <a:ext cx="3657600" cy="320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18F8-2709-4A28-95F3-3245D22EE999}">
  <dimension ref="A1:I29"/>
  <sheetViews>
    <sheetView tabSelected="1" workbookViewId="0">
      <pane ySplit="2" topLeftCell="A3" activePane="bottomLeft" state="frozen"/>
      <selection pane="bottomLeft" activeCell="G12" sqref="G12"/>
    </sheetView>
  </sheetViews>
  <sheetFormatPr defaultRowHeight="23.5" x14ac:dyDescent="0.35"/>
  <cols>
    <col min="1" max="1" width="8.7265625" style="1"/>
    <col min="2" max="2" width="22.1796875" style="1" bestFit="1" customWidth="1"/>
    <col min="3" max="3" width="22.453125" style="1" bestFit="1" customWidth="1"/>
    <col min="4" max="4" width="43.90625" style="1" bestFit="1" customWidth="1"/>
    <col min="5" max="5" width="16" style="1" bestFit="1" customWidth="1"/>
    <col min="6" max="6" width="8.7265625" style="1"/>
    <col min="7" max="7" width="34.81640625" style="1" bestFit="1" customWidth="1"/>
    <col min="8" max="8" width="25.6328125" style="1" bestFit="1" customWidth="1"/>
    <col min="9" max="9" width="12.7265625" style="1" bestFit="1" customWidth="1"/>
    <col min="10" max="16384" width="8.7265625" style="1"/>
  </cols>
  <sheetData>
    <row r="1" spans="1:9" ht="24" thickBot="1" x14ac:dyDescent="0.4"/>
    <row r="2" spans="1:9" ht="24" thickBot="1" x14ac:dyDescent="0.4">
      <c r="B2" s="30" t="s">
        <v>7</v>
      </c>
      <c r="C2" s="30"/>
      <c r="G2" s="28" t="s">
        <v>25</v>
      </c>
      <c r="H2" s="29"/>
    </row>
    <row r="3" spans="1:9" x14ac:dyDescent="0.35">
      <c r="G3" s="27" t="s">
        <v>0</v>
      </c>
      <c r="H3" s="27"/>
    </row>
    <row r="4" spans="1:9" ht="24" thickBot="1" x14ac:dyDescent="0.4">
      <c r="G4" s="2" t="s">
        <v>4</v>
      </c>
      <c r="H4" s="22">
        <f>H8/1000000</f>
        <v>-6.6860467059897296E-6</v>
      </c>
      <c r="I4" s="3"/>
    </row>
    <row r="5" spans="1:9" ht="24" thickBot="1" x14ac:dyDescent="0.4">
      <c r="F5" s="19" t="s">
        <v>24</v>
      </c>
      <c r="G5" s="2" t="s">
        <v>5</v>
      </c>
      <c r="H5" s="20" t="s">
        <v>20</v>
      </c>
      <c r="I5" s="3"/>
    </row>
    <row r="6" spans="1:9" x14ac:dyDescent="0.35">
      <c r="G6" s="2" t="s">
        <v>1</v>
      </c>
      <c r="H6" s="14">
        <v>525</v>
      </c>
      <c r="I6" s="3"/>
    </row>
    <row r="7" spans="1:9" x14ac:dyDescent="0.35">
      <c r="G7" s="1" t="s">
        <v>2</v>
      </c>
      <c r="H7" s="23">
        <f>cornGMO_D_int</f>
        <v>525</v>
      </c>
      <c r="I7" s="3"/>
    </row>
    <row r="8" spans="1:9" x14ac:dyDescent="0.35">
      <c r="G8" s="2" t="s">
        <v>6</v>
      </c>
      <c r="H8" s="24">
        <f>SLOPE({270,500},{34400000,1})*1000000</f>
        <v>-6.6860467059897299</v>
      </c>
      <c r="I8" s="3"/>
    </row>
    <row r="10" spans="1:9" x14ac:dyDescent="0.35">
      <c r="B10" s="27" t="s">
        <v>10</v>
      </c>
      <c r="C10" s="27"/>
      <c r="G10" s="27" t="s">
        <v>10</v>
      </c>
      <c r="H10" s="27"/>
    </row>
    <row r="11" spans="1:9" x14ac:dyDescent="0.35">
      <c r="B11" s="1" t="s">
        <v>11</v>
      </c>
      <c r="C11" s="5">
        <v>2.9327272727272727E-5</v>
      </c>
      <c r="G11" s="1" t="s">
        <v>11</v>
      </c>
      <c r="H11" s="6">
        <v>1.9636363636363636E-6</v>
      </c>
      <c r="I11" s="3"/>
    </row>
    <row r="12" spans="1:9" ht="24" thickBot="1" x14ac:dyDescent="0.4">
      <c r="B12" s="1" t="s">
        <v>13</v>
      </c>
      <c r="C12" s="7">
        <v>0</v>
      </c>
      <c r="G12" s="1" t="s">
        <v>13</v>
      </c>
      <c r="H12" s="7">
        <v>0</v>
      </c>
      <c r="I12" s="3"/>
    </row>
    <row r="13" spans="1:9" ht="24" thickBot="1" x14ac:dyDescent="0.4">
      <c r="A13" s="19" t="s">
        <v>19</v>
      </c>
      <c r="B13" s="8" t="s">
        <v>9</v>
      </c>
      <c r="C13" s="21" t="s">
        <v>20</v>
      </c>
      <c r="D13" s="2" t="s">
        <v>21</v>
      </c>
      <c r="F13" s="19" t="s">
        <v>23</v>
      </c>
      <c r="G13" s="8" t="s">
        <v>9</v>
      </c>
      <c r="H13" s="21" t="s">
        <v>20</v>
      </c>
      <c r="I13" s="25" t="s">
        <v>22</v>
      </c>
    </row>
    <row r="14" spans="1:9" x14ac:dyDescent="0.35">
      <c r="C14" s="9"/>
    </row>
    <row r="15" spans="1:9" x14ac:dyDescent="0.35">
      <c r="B15" s="1" t="s">
        <v>12</v>
      </c>
      <c r="C15" s="4">
        <v>120</v>
      </c>
      <c r="G15" s="1" t="s">
        <v>3</v>
      </c>
      <c r="H15" s="15" t="e">
        <f>cornGMO_D_int + cornGMO_D_slope * cornGMO_Output_optimal</f>
        <v>#VALUE!</v>
      </c>
      <c r="I15" s="26" t="str">
        <f ca="1">_xlfn.FORMULATEXT(H15)</f>
        <v>=cornGMO_D_int + cornGMO_D_slope * cornGMO_Output_optimal</v>
      </c>
    </row>
    <row r="16" spans="1:9" x14ac:dyDescent="0.35">
      <c r="B16" s="1" t="s">
        <v>17</v>
      </c>
      <c r="C16" s="10" t="e">
        <f>corn_P*corn_Output_optimal</f>
        <v>#VALUE!</v>
      </c>
      <c r="D16" s="16" t="str">
        <f ca="1">_xlfn.FORMULATEXT(C16)</f>
        <v>=corn_P*corn_Output_optimal</v>
      </c>
      <c r="G16" s="1" t="s">
        <v>17</v>
      </c>
      <c r="H16" s="10" t="e">
        <f>cornGMO_Output_optimal * cornGMO_P_optimal</f>
        <v>#VALUE!</v>
      </c>
      <c r="I16" s="26" t="str">
        <f ca="1">_xlfn.FORMULATEXT(H16)</f>
        <v>=cornGMO_Output_optimal * cornGMO_P_optimal</v>
      </c>
    </row>
    <row r="17" spans="2:9" x14ac:dyDescent="0.35">
      <c r="C17" s="11"/>
      <c r="I17" s="3"/>
    </row>
    <row r="18" spans="2:9" x14ac:dyDescent="0.35">
      <c r="B18" s="1" t="s">
        <v>14</v>
      </c>
      <c r="C18" s="17">
        <v>130000000</v>
      </c>
      <c r="D18" s="16"/>
      <c r="G18" s="1" t="s">
        <v>14</v>
      </c>
      <c r="H18" s="17">
        <f>corn_FC</f>
        <v>130000000</v>
      </c>
      <c r="I18" s="3"/>
    </row>
    <row r="19" spans="2:9" x14ac:dyDescent="0.35">
      <c r="B19" s="1" t="s">
        <v>15</v>
      </c>
      <c r="C19" s="10" t="e">
        <f>corn_P*corn_Output_optimal</f>
        <v>#VALUE!</v>
      </c>
      <c r="D19" s="16" t="str">
        <f ca="1">_xlfn.FORMULATEXT(C19)</f>
        <v>=corn_P*corn_Output_optimal</v>
      </c>
      <c r="G19" s="1" t="s">
        <v>15</v>
      </c>
      <c r="H19" s="12" t="e">
        <f>cornGMO_TC_optimal-H18</f>
        <v>#VALUE!</v>
      </c>
      <c r="I19" s="26" t="str">
        <f t="shared" ref="I19:I24" ca="1" si="0">_xlfn.FORMULATEXT(H19)</f>
        <v>=cornGMO_TC_optimal-H18</v>
      </c>
    </row>
    <row r="20" spans="2:9" x14ac:dyDescent="0.35">
      <c r="B20" s="1" t="s">
        <v>16</v>
      </c>
      <c r="C20" s="10" t="e">
        <f>corn_FC+corn_VC</f>
        <v>#VALUE!</v>
      </c>
      <c r="D20" s="16" t="str">
        <f ca="1">_xlfn.FORMULATEXT(C20)</f>
        <v>=corn_FC+corn_VC</v>
      </c>
      <c r="G20" s="1" t="s">
        <v>26</v>
      </c>
      <c r="H20" s="10" t="e">
        <f>cornGMO_MR_int + cornGMO_MR_slope * cornGMO_Output_optimal</f>
        <v>#VALUE!</v>
      </c>
      <c r="I20" s="26" t="str">
        <f t="shared" ca="1" si="0"/>
        <v>=cornGMO_MR_int + cornGMO_MR_slope * cornGMO_Output_optimal</v>
      </c>
    </row>
    <row r="21" spans="2:9" x14ac:dyDescent="0.35">
      <c r="G21" s="1" t="s">
        <v>27</v>
      </c>
      <c r="H21" s="10" t="e">
        <f>cornGMO_MC_intercept + cornGMO_MC_slope * cornGMO_Output_optimal</f>
        <v>#VALUE!</v>
      </c>
      <c r="I21" s="26" t="str">
        <f t="shared" ca="1" si="0"/>
        <v>=cornGMO_MC_intercept + cornGMO_MC_slope * cornGMO_Output_optimal</v>
      </c>
    </row>
    <row r="22" spans="2:9" x14ac:dyDescent="0.35">
      <c r="G22" s="1" t="s">
        <v>16</v>
      </c>
      <c r="H22" s="10" t="e">
        <f>cornGMO_FC + cornGMO_MC_optimal * cornGMO_Output_optimal</f>
        <v>#VALUE!</v>
      </c>
      <c r="I22" s="26" t="str">
        <f t="shared" ca="1" si="0"/>
        <v>=cornGMO_FC + cornGMO_MC_optimal * cornGMO_Output_optimal</v>
      </c>
    </row>
    <row r="23" spans="2:9" x14ac:dyDescent="0.35">
      <c r="B23" s="2" t="s">
        <v>18</v>
      </c>
      <c r="C23" s="18" t="e">
        <f>corn_Revenue_optimal-corn_TC</f>
        <v>#VALUE!</v>
      </c>
      <c r="D23" s="16" t="str">
        <f ca="1">_xlfn.FORMULATEXT(C23)</f>
        <v>=corn_Revenue_optimal-corn_TC</v>
      </c>
      <c r="G23" s="2" t="s">
        <v>18</v>
      </c>
      <c r="H23" s="18" t="e">
        <f>cornGMO_Revenue_optimal - cornGMO_TC_optimal</f>
        <v>#VALUE!</v>
      </c>
      <c r="I23" s="26" t="str">
        <f t="shared" ca="1" si="0"/>
        <v>=cornGMO_Revenue_optimal - cornGMO_TC_optimal</v>
      </c>
    </row>
    <row r="24" spans="2:9" x14ac:dyDescent="0.35">
      <c r="B24" s="1" t="s">
        <v>8</v>
      </c>
      <c r="C24" s="13" t="e">
        <f>corn_Profit_optimal/corn_Output_optimal</f>
        <v>#VALUE!</v>
      </c>
      <c r="D24" s="16" t="str">
        <f ca="1">_xlfn.FORMULATEXT(C24)</f>
        <v>=corn_Profit_optimal/corn_Output_optimal</v>
      </c>
      <c r="G24" s="1" t="s">
        <v>8</v>
      </c>
      <c r="H24" s="13" t="e">
        <f>cornGMO_Profit_optimal/cornGMO_Output_optimal</f>
        <v>#VALUE!</v>
      </c>
      <c r="I24" s="26" t="str">
        <f t="shared" ca="1" si="0"/>
        <v>=cornGMO_Profit_optimal/cornGMO_Output_optimal</v>
      </c>
    </row>
    <row r="25" spans="2:9" x14ac:dyDescent="0.35">
      <c r="I25" s="3"/>
    </row>
    <row r="26" spans="2:9" x14ac:dyDescent="0.35">
      <c r="I26" s="3"/>
    </row>
    <row r="27" spans="2:9" x14ac:dyDescent="0.35">
      <c r="I27" s="3"/>
    </row>
    <row r="28" spans="2:9" x14ac:dyDescent="0.35">
      <c r="I28" s="3"/>
    </row>
    <row r="29" spans="2:9" x14ac:dyDescent="0.35">
      <c r="I29" s="3"/>
    </row>
  </sheetData>
  <mergeCells count="5">
    <mergeCell ref="G3:H3"/>
    <mergeCell ref="G10:H10"/>
    <mergeCell ref="G2:H2"/>
    <mergeCell ref="B2:C2"/>
    <mergeCell ref="B10:C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worksheet</vt:lpstr>
      <vt:lpstr>corn_FC</vt:lpstr>
      <vt:lpstr>corn_MC_slope</vt:lpstr>
      <vt:lpstr>corn_Output_optimal</vt:lpstr>
      <vt:lpstr>corn_P</vt:lpstr>
      <vt:lpstr>corn_Profit_optimal</vt:lpstr>
      <vt:lpstr>corn_Revenue_optimal</vt:lpstr>
      <vt:lpstr>corn_TC</vt:lpstr>
      <vt:lpstr>corn_VC</vt:lpstr>
      <vt:lpstr>cornGMO_D_int</vt:lpstr>
      <vt:lpstr>cornGMO_D_slope</vt:lpstr>
      <vt:lpstr>worksheet!cornGMO_FC</vt:lpstr>
      <vt:lpstr>worksheet!cornGMO_MC_intercept</vt:lpstr>
      <vt:lpstr>worksheet!cornGMO_MC_optimal</vt:lpstr>
      <vt:lpstr>worksheet!cornGMO_MC_slope</vt:lpstr>
      <vt:lpstr>cornGMO_MR_int</vt:lpstr>
      <vt:lpstr>cornGMO_MR_slope</vt:lpstr>
      <vt:lpstr>cornGMO_Output_optimal</vt:lpstr>
      <vt:lpstr>cornGMO_P_optimal</vt:lpstr>
      <vt:lpstr>cornGMO_Profit_optimal</vt:lpstr>
      <vt:lpstr>worksheet!cornGMO_Revenue_optimal</vt:lpstr>
      <vt:lpstr>worksheet!cornGMO_TC_optimal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Stauffer</dc:creator>
  <cp:lastModifiedBy>Adam Stauffer</cp:lastModifiedBy>
  <dcterms:created xsi:type="dcterms:W3CDTF">2024-10-09T03:34:36Z</dcterms:created>
  <dcterms:modified xsi:type="dcterms:W3CDTF">2026-07-07T12:36:23Z</dcterms:modified>
</cp:coreProperties>
</file>