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worksheet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\$#,##0.00;&quot;($&quot;#,##0.00\);\-"/>
    <numFmt numFmtId="165" formatCode="\$#,##0;&quot;($&quot;#,##0\);\-"/>
    <numFmt numFmtId="166" formatCode="0.0000000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0"/>
      <b val="1"/>
      <sz val="10"/>
    </font>
    <font>
      <name val="Aptos Narrow"/>
      <charset val="1"/>
      <family val="0"/>
      <sz val="10"/>
    </font>
    <font>
      <name val="Aptos Narrow"/>
      <charset val="1"/>
      <family val="0"/>
      <b val="1"/>
      <sz val="18"/>
    </font>
    <font>
      <name val="Aptos Narrow"/>
      <charset val="1"/>
      <family val="0"/>
      <sz val="18"/>
    </font>
    <font>
      <name val="Aptos Narrow"/>
      <charset val="1"/>
      <family val="0"/>
      <color rgb="FF0000FF"/>
      <sz val="18"/>
    </font>
    <font>
      <name val="Aptos Narrow"/>
      <charset val="1"/>
      <family val="0"/>
      <color rgb="FFFFFFFF"/>
      <sz val="18"/>
    </font>
    <font>
      <name val="Aptos Narrow"/>
      <charset val="1"/>
      <family val="0"/>
      <color rgb="FF000000"/>
      <sz val="18"/>
    </font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DE9D9"/>
        <bgColor rgb="FFFDE9D9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165" fontId="7" fillId="2" borderId="0" applyAlignment="1" pivotButton="0" quotePrefix="0" xfId="0">
      <alignment horizontal="general" vertical="bottom"/>
    </xf>
    <xf numFmtId="166" fontId="9" fillId="0" borderId="0" applyAlignment="1" pivotButton="0" quotePrefix="0" xfId="0">
      <alignment horizontal="general" vertical="bottom"/>
    </xf>
    <xf numFmtId="166" fontId="7" fillId="2" borderId="0" applyAlignment="1" pivotButton="0" quotePrefix="0" xfId="0">
      <alignment horizontal="general" vertical="bottom"/>
    </xf>
    <xf numFmtId="3" fontId="9" fillId="0" borderId="0" applyAlignment="1" pivotButton="0" quotePrefix="0" xfId="0">
      <alignment horizontal="general" vertical="bottom"/>
    </xf>
    <xf numFmtId="3" fontId="7" fillId="2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165" fontId="6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10" fillId="3" borderId="0" applyAlignment="1" pivotButton="0" quotePrefix="0" xfId="0">
      <alignment horizontal="general" vertical="bottom"/>
    </xf>
    <xf numFmtId="165" fontId="10" fillId="3" borderId="0" applyAlignment="1" pivotButton="0" quotePrefix="0" xfId="0">
      <alignment horizontal="general" vertical="bottom"/>
    </xf>
    <xf numFmtId="166" fontId="10" fillId="3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165" fontId="7" fillId="2" borderId="0" applyAlignment="1" pivotButton="0" quotePrefix="0" xfId="0">
      <alignment horizontal="general" vertical="bottom"/>
    </xf>
    <xf numFmtId="166" fontId="9" fillId="0" borderId="0" applyAlignment="1" pivotButton="0" quotePrefix="0" xfId="0">
      <alignment horizontal="general" vertical="bottom"/>
    </xf>
    <xf numFmtId="166" fontId="7" fillId="2" borderId="0" applyAlignment="1" pivotButton="0" quotePrefix="0" xfId="0">
      <alignment horizontal="general" vertical="bottom"/>
    </xf>
    <xf numFmtId="3" fontId="9" fillId="0" borderId="0" applyAlignment="1" pivotButton="0" quotePrefix="0" xfId="0">
      <alignment horizontal="general" vertical="bottom"/>
    </xf>
    <xf numFmtId="3" fontId="7" fillId="2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165" fontId="6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2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453125" defaultRowHeight="15" customHeight="0" zeroHeight="0" outlineLevelRow="0"/>
  <cols>
    <col width="9" customWidth="1" style="19" min="1" max="1"/>
    <col width="38" customWidth="1" style="19" min="2" max="2"/>
    <col width="22" customWidth="1" style="19" min="3" max="3"/>
    <col width="46" customWidth="1" style="19" min="4" max="4"/>
    <col width="4" customWidth="1" style="19" min="5" max="5"/>
    <col width="9" customWidth="1" style="19" min="6" max="6"/>
    <col width="44" customWidth="1" style="19" min="7" max="7"/>
    <col width="22" customWidth="1" style="19" min="8" max="8"/>
    <col width="48" customWidth="1" style="19" min="9" max="9"/>
  </cols>
  <sheetData>
    <row r="1" ht="13.5" customHeight="1" s="20">
      <c r="B1" s="21" t="inlineStr">
        <is>
          <t>Monsanto seed market — in-class worksheet (corrected rebuild, 2026-07)</t>
        </is>
      </c>
    </row>
    <row r="2" ht="30" customHeight="1" s="20">
      <c r="B2" s="22" t="inlineStr">
        <is>
          <t>Replaces the archived 'Monsanto Case Study worksheet in class.xlsx', whose variable-cost formula equaled revenue (forcing profit ≡ −$130m) and whose total cost used FC + MC·Q. Formulas here match monsanto-seed-market-key.xlsx: TVC = a·Q + b·Q² → MC = a + 2b·Q; variable cost = AREA UNDER MC, never MC × Q.</t>
        </is>
      </c>
    </row>
    <row r="3" ht="13.5" customHeight="1" s="20">
      <c r="B3" s="23" t="inlineStr">
        <is>
          <t>Tan cells = the given inputs — hardcoded, and the cells you may change. Yellow cells = filled live in class. Everything else is a formula — do not overtype it. Checks when filled: non-GMO Q* 3,966,667, profit $106.0m · GMO Q* 34,025,974, P* $297.03, profit $8.785bn.</t>
        </is>
      </c>
    </row>
    <row r="4"/>
    <row r="5" ht="22.05" customHeight="1" s="20">
      <c r="B5" s="24" t="inlineStr">
        <is>
          <t>PERFECT — non-GMO corn seed (price taker)</t>
        </is>
      </c>
      <c r="G5" s="24" t="inlineStr">
        <is>
          <t>IMPERFECT — GMO Roundup Ready corn (price maker)</t>
        </is>
      </c>
    </row>
    <row r="6" ht="22.05" customHeight="1" s="20">
      <c r="B6" s="25" t="inlineStr">
        <is>
          <t>Market price P ($/bag)</t>
        </is>
      </c>
      <c r="C6" s="26" t="n">
        <v>120</v>
      </c>
      <c r="D6" s="25" t="inlineStr">
        <is>
          <t>flat demand — the market sets it</t>
        </is>
      </c>
      <c r="G6" s="25" t="inlineStr">
        <is>
          <t>Demand intercept ($/bag)</t>
        </is>
      </c>
      <c r="H6" s="27" t="n">
        <v>525</v>
      </c>
      <c r="I6" s="25" t="inlineStr">
        <is>
          <t>P = 525 − 0.0000067·Q</t>
        </is>
      </c>
    </row>
    <row r="7" ht="22.05" customHeight="1" s="20">
      <c r="B7" s="25" t="inlineStr">
        <is>
          <t>MC intercept a ($/bag)</t>
        </is>
      </c>
      <c r="C7" s="26" t="n">
        <v>1</v>
      </c>
      <c r="D7" s="25" t="inlineStr">
        <is>
          <t>TVC = a·Q + b·Q²  →  MC = a + 2b·Q</t>
        </is>
      </c>
      <c r="G7" s="25" t="inlineStr">
        <is>
          <t>Demand slope</t>
        </is>
      </c>
      <c r="H7" s="28" t="n">
        <v>-6.7e-06</v>
      </c>
      <c r="I7" s="25" t="inlineStr">
        <is>
          <t>one more bag lowers P on ALL bags</t>
        </is>
      </c>
    </row>
    <row r="8" ht="22.05" customHeight="1" s="20">
      <c r="B8" s="25" t="inlineStr">
        <is>
          <t>MC curvature b</t>
        </is>
      </c>
      <c r="C8" s="28" t="n">
        <v>1.5e-05</v>
      </c>
      <c r="F8" s="29">
        <f>H6</f>
        <v/>
      </c>
      <c r="G8" s="24" t="inlineStr">
        <is>
          <t>MR intercept</t>
        </is>
      </c>
      <c r="H8" s="30" t="n"/>
      <c r="I8" s="24" t="inlineStr">
        <is>
          <t>&lt;- fill live: same intercept as demand</t>
        </is>
      </c>
    </row>
    <row r="9" ht="22.05" customHeight="1" s="20">
      <c r="B9" s="25" t="inlineStr">
        <is>
          <t>Fixed costs ($)</t>
        </is>
      </c>
      <c r="C9" s="27" t="n">
        <v>130000000</v>
      </c>
      <c r="F9" s="31">
        <f>2*H7</f>
        <v/>
      </c>
      <c r="G9" s="24" t="inlineStr">
        <is>
          <t>MR slope</t>
        </is>
      </c>
      <c r="H9" s="32" t="n"/>
      <c r="I9" s="24" t="inlineStr">
        <is>
          <t>&lt;- fill live: TWICE the demand slope</t>
        </is>
      </c>
    </row>
    <row r="10" ht="22.05" customHeight="1" s="20">
      <c r="G10" s="25" t="inlineStr">
        <is>
          <t>MC intercept a ($/bag)</t>
        </is>
      </c>
      <c r="H10" s="26" t="n">
        <v>1</v>
      </c>
    </row>
    <row r="11" ht="22.05" customHeight="1" s="20">
      <c r="A11" s="33">
        <f>(C6-C7)/(2*C8)</f>
        <v/>
      </c>
      <c r="B11" s="24" t="inlineStr">
        <is>
          <t>Optimal output Q* (bags)</t>
        </is>
      </c>
      <c r="C11" s="34" t="n"/>
      <c r="D11" s="24" t="inlineStr">
        <is>
          <t>&lt;- fill live: P = MC  →  Q* = (P − a) / (2b)</t>
        </is>
      </c>
      <c r="G11" s="25" t="inlineStr">
        <is>
          <t>MC curvature b</t>
        </is>
      </c>
      <c r="H11" s="28" t="n">
        <v>1e-06</v>
      </c>
      <c r="I11" s="25" t="inlineStr">
        <is>
          <t>MC = a + 2b·Q</t>
        </is>
      </c>
    </row>
    <row r="12" ht="22.05" customHeight="1" s="20">
      <c r="B12" s="25" t="inlineStr">
        <is>
          <t>Revenue @ Q*</t>
        </is>
      </c>
      <c r="C12" s="35">
        <f>C6*C11</f>
        <v/>
      </c>
      <c r="D12" s="25">
        <f>_xlfn.FORMULATEXT(C12)</f>
        <v/>
      </c>
      <c r="G12" s="25" t="inlineStr">
        <is>
          <t>Fixed costs ($)</t>
        </is>
      </c>
      <c r="H12" s="27" t="n">
        <v>130000000</v>
      </c>
    </row>
    <row r="13" ht="22.05" customHeight="1" s="20">
      <c r="B13" s="25" t="inlineStr">
        <is>
          <t>Variable cost (area under MC)</t>
        </is>
      </c>
      <c r="C13" s="35">
        <f>C7*C11+C8*C11^2</f>
        <v/>
      </c>
      <c r="D13" s="25">
        <f>_xlfn.FORMULATEXT(C13)</f>
        <v/>
      </c>
    </row>
    <row r="14" ht="22.05" customHeight="1" s="20">
      <c r="B14" s="25" t="inlineStr">
        <is>
          <t>Total cost (VC + FC)</t>
        </is>
      </c>
      <c r="C14" s="35">
        <f>C13+C9</f>
        <v/>
      </c>
      <c r="D14" s="25">
        <f>_xlfn.FORMULATEXT(C14)</f>
        <v/>
      </c>
      <c r="F14" s="33">
        <f>(H6-H10)/(2*H11-2*H7)</f>
        <v/>
      </c>
      <c r="G14" s="24" t="inlineStr">
        <is>
          <t>Optimal output Q* (bags)</t>
        </is>
      </c>
      <c r="H14" s="34" t="n"/>
      <c r="I14" s="24" t="inlineStr">
        <is>
          <t>&lt;- fill live: MR = MC  →  Q* = (Di − a) / (2b − 2·Ds)</t>
        </is>
      </c>
    </row>
    <row r="15" ht="22.05" customHeight="1" s="20">
      <c r="B15" s="24" t="inlineStr">
        <is>
          <t>Profit @ Q*</t>
        </is>
      </c>
      <c r="C15" s="36">
        <f>C12-C14</f>
        <v/>
      </c>
      <c r="D15" s="25">
        <f>_xlfn.FORMULATEXT(C15)</f>
        <v/>
      </c>
      <c r="G15" s="24" t="inlineStr">
        <is>
          <t>Price P* @ Q*</t>
        </is>
      </c>
      <c r="H15" s="37">
        <f>H6+H7*H14</f>
        <v/>
      </c>
      <c r="I15" s="24" t="inlineStr">
        <is>
          <t>read P* off the DEMAND curve, never off MR</t>
        </is>
      </c>
    </row>
    <row r="16" ht="22.05" customHeight="1" s="20">
      <c r="B16" s="25" t="inlineStr">
        <is>
          <t>Profit per bag</t>
        </is>
      </c>
      <c r="C16" s="38">
        <f>IF(C11=0,"—",C15/C11)</f>
        <v/>
      </c>
      <c r="D16" s="25">
        <f>_xlfn.FORMULATEXT(C16)</f>
        <v/>
      </c>
      <c r="G16" s="25" t="inlineStr">
        <is>
          <t>MR @ Q*</t>
        </is>
      </c>
      <c r="H16" s="38">
        <f>H8+H9*H14</f>
        <v/>
      </c>
      <c r="I16" s="25">
        <f>_xlfn.FORMULATEXT(H16)</f>
        <v/>
      </c>
    </row>
    <row r="17" ht="22.05" customHeight="1" s="20">
      <c r="G17" s="25" t="inlineStr">
        <is>
          <t>MC @ Q*</t>
        </is>
      </c>
      <c r="H17" s="38">
        <f>H10+2*H11*H14</f>
        <v/>
      </c>
      <c r="I17" s="25">
        <f>_xlfn.FORMULATEXT(H17)</f>
        <v/>
      </c>
    </row>
    <row r="18" ht="22.05" customHeight="1" s="20">
      <c r="G18" s="25" t="inlineStr">
        <is>
          <t>Revenue @ Q*</t>
        </is>
      </c>
      <c r="H18" s="35">
        <f>H15*H14</f>
        <v/>
      </c>
      <c r="I18" s="25">
        <f>_xlfn.FORMULATEXT(H18)</f>
        <v/>
      </c>
    </row>
    <row r="19" ht="22.05" customHeight="1" s="20">
      <c r="G19" s="25" t="inlineStr">
        <is>
          <t>Variable cost (area under MC — NOT MC × Q)</t>
        </is>
      </c>
      <c r="H19" s="35">
        <f>H10*H14+H11*H14^2</f>
        <v/>
      </c>
      <c r="I19" s="25">
        <f>_xlfn.FORMULATEXT(H19)</f>
        <v/>
      </c>
    </row>
    <row r="20" ht="22.05" customHeight="1" s="20">
      <c r="G20" s="25" t="inlineStr">
        <is>
          <t>Total cost (VC + FC)</t>
        </is>
      </c>
      <c r="H20" s="35">
        <f>H19+H12</f>
        <v/>
      </c>
      <c r="I20" s="25">
        <f>_xlfn.FORMULATEXT(H20)</f>
        <v/>
      </c>
    </row>
    <row r="21" ht="22.05" customHeight="1" s="20">
      <c r="G21" s="24" t="inlineStr">
        <is>
          <t>Profit @ Q*</t>
        </is>
      </c>
      <c r="H21" s="36">
        <f>H18-H20</f>
        <v/>
      </c>
      <c r="I21" s="25">
        <f>_xlfn.FORMULATEXT(H21)</f>
        <v/>
      </c>
    </row>
    <row r="22" ht="22.05" customHeight="1" s="20">
      <c r="G22" s="25" t="inlineStr">
        <is>
          <t>Profit per bag</t>
        </is>
      </c>
      <c r="H22" s="38">
        <f>IF(H14=0,"—",H21/H14)</f>
        <v/>
      </c>
      <c r="I22" s="25">
        <f>_xlfn.FORMULATEXT(H22)</f>
        <v/>
      </c>
    </row>
  </sheetData>
  <mergeCells count="3">
    <mergeCell ref="B1:I1"/>
    <mergeCell ref="B2:I2"/>
    <mergeCell ref="B3:I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2026-07-31T22:46:38Z</dcterms:created>
  <dcterms:modified xmlns:dcterms="http://purl.org/dc/terms/" xmlns:xsi="http://www.w3.org/2001/XMLSchema-instance" xsi:type="dcterms:W3CDTF">2026-08-27T17:11:15Z</dcterms:modified>
  <cp:revision>0</cp:revision>
</cp:coreProperties>
</file>