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GitHub\shidler\courses\BUS-629-VEMBA-International-Corporate-Finance\"/>
    </mc:Choice>
  </mc:AlternateContent>
  <xr:revisionPtr revIDLastSave="0" documentId="13_ncr:1_{42297DF8-8F17-4DB9-A23B-82273C52250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eam Assignments" sheetId="1" r:id="rId1"/>
    <sheet name="Team Summary" sheetId="2" r:id="rId2"/>
    <sheet name="Methodolog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2" l="1"/>
  <c r="H5" i="2"/>
  <c r="G5" i="2"/>
  <c r="F5" i="2"/>
  <c r="E5" i="2"/>
  <c r="D5" i="2"/>
  <c r="C5" i="2"/>
  <c r="B5" i="2"/>
  <c r="I4" i="2"/>
  <c r="H4" i="2"/>
  <c r="G4" i="2"/>
  <c r="F4" i="2"/>
  <c r="E4" i="2"/>
  <c r="D4" i="2"/>
  <c r="C4" i="2"/>
  <c r="B4" i="2"/>
  <c r="I3" i="2"/>
  <c r="H3" i="2"/>
  <c r="G3" i="2"/>
  <c r="F3" i="2"/>
  <c r="E3" i="2"/>
  <c r="D3" i="2"/>
  <c r="C3" i="2"/>
  <c r="B3" i="2"/>
  <c r="I2" i="2"/>
  <c r="H2" i="2"/>
  <c r="G2" i="2"/>
  <c r="F2" i="2"/>
  <c r="E2" i="2"/>
  <c r="D2" i="2"/>
  <c r="C2" i="2"/>
  <c r="B2" i="2"/>
</calcChain>
</file>

<file path=xl/sharedStrings.xml><?xml version="1.0" encoding="utf-8"?>
<sst xmlns="http://schemas.openxmlformats.org/spreadsheetml/2006/main" count="255" uniqueCount="93">
  <si>
    <t>Team</t>
  </si>
  <si>
    <t>Name</t>
  </si>
  <si>
    <t>Location</t>
  </si>
  <si>
    <t>Role / Company</t>
  </si>
  <si>
    <t>Used GitHub?</t>
  </si>
  <si>
    <t>GitHub</t>
  </si>
  <si>
    <t>Excel</t>
  </si>
  <si>
    <t>Claude</t>
  </si>
  <si>
    <t>ChatGPT</t>
  </si>
  <si>
    <t>Gemini</t>
  </si>
  <si>
    <t>Notes</t>
  </si>
  <si>
    <t>Markeiz Ryan</t>
  </si>
  <si>
    <t>HCMC</t>
  </si>
  <si>
    <t>English instructor, Vietnamese Learning Center</t>
  </si>
  <si>
    <t>Yes</t>
  </si>
  <si>
    <t>Moderate</t>
  </si>
  <si>
    <t>Beginner</t>
  </si>
  <si>
    <t>Expert</t>
  </si>
  <si>
    <t>⭐ GitHub anchor; AI expert</t>
  </si>
  <si>
    <t>Phuc Truong</t>
  </si>
  <si>
    <t>Managing Director, FPT Software</t>
  </si>
  <si>
    <t>No</t>
  </si>
  <si>
    <t>—</t>
  </si>
  <si>
    <t>Excel beginner — pair with mentor</t>
  </si>
  <si>
    <t>Linh Nguyen</t>
  </si>
  <si>
    <t>Senior Manager, Operations Planning, Prudential VN</t>
  </si>
  <si>
    <t>Manh Thai Nguyen</t>
  </si>
  <si>
    <t>Hanoi</t>
  </si>
  <si>
    <t>Branch Manager, TP Bank - Hoang Mai</t>
  </si>
  <si>
    <t>Hiep Tran</t>
  </si>
  <si>
    <t>Head of Planning, Military Commercial Bank</t>
  </si>
  <si>
    <t>No skills survey</t>
  </si>
  <si>
    <t>Mai Phan</t>
  </si>
  <si>
    <t>Chief of Staff, BOD Operations, PNJ Group</t>
  </si>
  <si>
    <t>Duy Nguyen</t>
  </si>
  <si>
    <t>Hawaii</t>
  </si>
  <si>
    <t>Administrative Assistant, Bank of Hawaii Trust RE</t>
  </si>
  <si>
    <t>⭐ GitHub anchor</t>
  </si>
  <si>
    <t>Thuy Ha</t>
  </si>
  <si>
    <t>Unit Supply Specialist, DOD</t>
  </si>
  <si>
    <t>AI expert</t>
  </si>
  <si>
    <t>Hien Cam</t>
  </si>
  <si>
    <t>CEO and Founder, SAGOMED</t>
  </si>
  <si>
    <t>Nghiep Ha</t>
  </si>
  <si>
    <t>Export-Import Manager, Nestle Vietnam</t>
  </si>
  <si>
    <t>Chieu Chu</t>
  </si>
  <si>
    <t>VP &amp; Director Global Healthcare, FPT Software</t>
  </si>
  <si>
    <t>Thong Pham</t>
  </si>
  <si>
    <t>Marketing Director, VNG Group</t>
  </si>
  <si>
    <t>Taylor Blasco</t>
  </si>
  <si>
    <t>Staff Sergeant E-5, U.S. Air Force (Aircrew Egress)</t>
  </si>
  <si>
    <t>⭐ GitHub anchor; Excel beginner — pair with mentor</t>
  </si>
  <si>
    <t>Phuong Luong</t>
  </si>
  <si>
    <t>Chief of Technology, FPT Play</t>
  </si>
  <si>
    <t>Truc Pham</t>
  </si>
  <si>
    <t>Chief Finance Officer, VN Software Dev Center (NAB)</t>
  </si>
  <si>
    <t>Hai Dang</t>
  </si>
  <si>
    <t>Head of People Experience, SKF Group</t>
  </si>
  <si>
    <t>Ngoc Cao</t>
  </si>
  <si>
    <t>Chief Design Officer, QICKCOM</t>
  </si>
  <si>
    <t>Minh Hoang</t>
  </si>
  <si>
    <t>Director of Operations and Platform, FEBE Ventures</t>
  </si>
  <si>
    <t>Khanh Phan</t>
  </si>
  <si>
    <t>General Accountant, Indochina Kajima Development</t>
  </si>
  <si>
    <t>Tan Tran</t>
  </si>
  <si>
    <t>Managing Partner, LT Capital Partners (Singapore)</t>
  </si>
  <si>
    <t>Phuong Anh Nguyen</t>
  </si>
  <si>
    <t>Product Management Manager, VinGroup</t>
  </si>
  <si>
    <t>Thao Nguyen</t>
  </si>
  <si>
    <t>Head of Commercial Marketing, Lenovo Vietnam</t>
  </si>
  <si>
    <t>Lan Anh Nguyen</t>
  </si>
  <si>
    <t>Director, Global Service Provider BU, CMC Telecom</t>
  </si>
  <si>
    <t>Size</t>
  </si>
  <si>
    <t>Used GitHub (Yes)</t>
  </si>
  <si>
    <t>Excel ≥ Mod</t>
  </si>
  <si>
    <t>Claude ≥ Mod</t>
  </si>
  <si>
    <t>ChatGPT ≥ Mod</t>
  </si>
  <si>
    <t>Gemini ≥ Mod</t>
  </si>
  <si>
    <t>AI Experts</t>
  </si>
  <si>
    <t>Locations</t>
  </si>
  <si>
    <t>BUS-629 Team Assignments — Methodology</t>
  </si>
  <si>
    <t>Source data: ignore/BUS-629 Roster.xlsx — 'Form Responses 1' (skills survey) and 'Sheet2' (full roster).</t>
  </si>
  <si>
    <t>17 of 23 students filled the skills survey. Six non-respondents were placed by name and location only.</t>
  </si>
  <si>
    <t>Constraints applied (in priority order):</t>
  </si>
  <si>
    <t>1. Each team gets exactly one of the four students who have used GitHub before (Markeiz, Duy, Taylor, Khanh).</t>
  </si>
  <si>
    <t>2. Each team gets exactly one of the four self-described Excel Beginners (Phuc, Hien, Taylor, Tan), paired with ≥2 Moderates.</t>
  </si>
  <si>
    <t>3. The three AI Experts (Markeiz, Thuy, Phuong) are spread across three teams; Team 4 is balanced through all-Moderate AI users.</t>
  </si>
  <si>
    <t>4. Each team has at least one student rated Moderate in Claude (the weakest tool overall — no one self-rated Expert).</t>
  </si>
  <si>
    <t>5. Hanoi / HCMC / Hawaii location mix balanced where possible.</t>
  </si>
  <si>
    <t>Limitations:</t>
  </si>
  <si>
    <t>- Six students have no skills data (highlighted gray). Re-evaluate team balance after they submit the survey.</t>
  </si>
  <si>
    <t>- No student rated themselves Expert in GitHub, Excel, or Claude — instructor support recommended on these tools.</t>
  </si>
  <si>
    <t>- Self-reported comfort levels only; no skills test was administered.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</si>
</sst>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Open Sans"/>
    </font>
    <font>
      <sz val="10"/>
      <name val="Open Sans"/>
    </font>
    <font>
      <b/>
      <sz val="10"/>
      <name val="Open Sans"/>
    </font>
    <font>
      <b/>
      <sz val="11"/>
      <color rgb="FF024731"/>
      <name val="Open Sans"/>
    </font>
    <font>
      <sz val="11"/>
      <color rgb="FF000000"/>
      <name val="Open Sans"/>
    </font>
  </fonts>
  <fills count="8">
    <fill>
      <patternFill patternType="none"/>
    </fill>
    <fill>
      <patternFill patternType="gray125"/>
    </fill>
    <fill>
      <patternFill patternType="solid">
        <fgColor rgb="FF024731"/>
      </patternFill>
    </fill>
    <fill>
      <patternFill patternType="solid">
        <fgColor rgb="FFD9E5DF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EEEEE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6" customWidth="1"/>
    <col min="2" max="2" width="22" customWidth="1"/>
    <col min="3" max="3" width="9" customWidth="1"/>
    <col min="4" max="4" width="50" customWidth="1"/>
    <col min="5" max="5" width="13" customWidth="1"/>
    <col min="6" max="10" width="12" customWidth="1"/>
    <col min="11" max="11" width="36" customWidth="1"/>
  </cols>
  <sheetData>
    <row r="1" spans="1:11" ht="3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>
        <v>1</v>
      </c>
      <c r="B2" s="3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15</v>
      </c>
      <c r="H2" s="2" t="s">
        <v>16</v>
      </c>
      <c r="I2" s="2" t="s">
        <v>17</v>
      </c>
      <c r="J2" s="2" t="s">
        <v>17</v>
      </c>
      <c r="K2" s="2" t="s">
        <v>18</v>
      </c>
    </row>
    <row r="3" spans="1:11" x14ac:dyDescent="0.35">
      <c r="A3" s="2">
        <v>1</v>
      </c>
      <c r="B3" s="2" t="s">
        <v>19</v>
      </c>
      <c r="C3" s="2" t="s">
        <v>12</v>
      </c>
      <c r="D3" s="2" t="s">
        <v>20</v>
      </c>
      <c r="E3" s="2" t="s">
        <v>21</v>
      </c>
      <c r="F3" s="2" t="s">
        <v>22</v>
      </c>
      <c r="G3" s="4" t="s">
        <v>16</v>
      </c>
      <c r="H3" s="2" t="s">
        <v>16</v>
      </c>
      <c r="I3" s="2" t="s">
        <v>16</v>
      </c>
      <c r="J3" s="2" t="s">
        <v>16</v>
      </c>
      <c r="K3" s="2" t="s">
        <v>23</v>
      </c>
    </row>
    <row r="4" spans="1:11" x14ac:dyDescent="0.35">
      <c r="A4" s="2">
        <v>1</v>
      </c>
      <c r="B4" s="2" t="s">
        <v>24</v>
      </c>
      <c r="C4" s="2" t="s">
        <v>12</v>
      </c>
      <c r="D4" s="2" t="s">
        <v>25</v>
      </c>
      <c r="E4" s="2" t="s">
        <v>21</v>
      </c>
      <c r="F4" s="2" t="s">
        <v>22</v>
      </c>
      <c r="G4" s="2" t="s">
        <v>15</v>
      </c>
      <c r="H4" s="2" t="s">
        <v>15</v>
      </c>
      <c r="I4" s="2" t="s">
        <v>15</v>
      </c>
      <c r="J4" s="2" t="s">
        <v>15</v>
      </c>
      <c r="K4" s="2"/>
    </row>
    <row r="5" spans="1:11" x14ac:dyDescent="0.35">
      <c r="A5" s="2">
        <v>1</v>
      </c>
      <c r="B5" s="2" t="s">
        <v>26</v>
      </c>
      <c r="C5" s="2" t="s">
        <v>27</v>
      </c>
      <c r="D5" s="2" t="s">
        <v>28</v>
      </c>
      <c r="E5" s="2" t="s">
        <v>21</v>
      </c>
      <c r="F5" s="2" t="s">
        <v>22</v>
      </c>
      <c r="G5" s="2" t="s">
        <v>15</v>
      </c>
      <c r="H5" s="2" t="s">
        <v>22</v>
      </c>
      <c r="I5" s="2" t="s">
        <v>16</v>
      </c>
      <c r="J5" s="2" t="s">
        <v>15</v>
      </c>
      <c r="K5" s="2"/>
    </row>
    <row r="6" spans="1:11" x14ac:dyDescent="0.35">
      <c r="A6" s="2">
        <v>1</v>
      </c>
      <c r="B6" s="2" t="s">
        <v>29</v>
      </c>
      <c r="C6" s="2" t="s">
        <v>27</v>
      </c>
      <c r="D6" s="2" t="s">
        <v>30</v>
      </c>
      <c r="E6" s="5" t="s">
        <v>22</v>
      </c>
      <c r="F6" s="5" t="s">
        <v>22</v>
      </c>
      <c r="G6" s="5" t="s">
        <v>22</v>
      </c>
      <c r="H6" s="5" t="s">
        <v>22</v>
      </c>
      <c r="I6" s="5" t="s">
        <v>22</v>
      </c>
      <c r="J6" s="5" t="s">
        <v>22</v>
      </c>
      <c r="K6" s="2" t="s">
        <v>31</v>
      </c>
    </row>
    <row r="7" spans="1:11" x14ac:dyDescent="0.35">
      <c r="A7" s="2">
        <v>1</v>
      </c>
      <c r="B7" s="2" t="s">
        <v>32</v>
      </c>
      <c r="C7" s="2" t="s">
        <v>12</v>
      </c>
      <c r="D7" s="2" t="s">
        <v>33</v>
      </c>
      <c r="E7" s="5" t="s">
        <v>22</v>
      </c>
      <c r="F7" s="5" t="s">
        <v>22</v>
      </c>
      <c r="G7" s="5" t="s">
        <v>22</v>
      </c>
      <c r="H7" s="5" t="s">
        <v>22</v>
      </c>
      <c r="I7" s="5" t="s">
        <v>22</v>
      </c>
      <c r="J7" s="5" t="s">
        <v>22</v>
      </c>
      <c r="K7" s="2" t="s">
        <v>31</v>
      </c>
    </row>
    <row r="8" spans="1:11" x14ac:dyDescent="0.35">
      <c r="A8" s="6">
        <v>2</v>
      </c>
      <c r="B8" s="3" t="s">
        <v>34</v>
      </c>
      <c r="C8" s="6" t="s">
        <v>35</v>
      </c>
      <c r="D8" s="6" t="s">
        <v>36</v>
      </c>
      <c r="E8" s="6" t="s">
        <v>14</v>
      </c>
      <c r="F8" s="6" t="s">
        <v>16</v>
      </c>
      <c r="G8" s="6" t="s">
        <v>15</v>
      </c>
      <c r="H8" s="6" t="s">
        <v>16</v>
      </c>
      <c r="I8" s="6" t="s">
        <v>16</v>
      </c>
      <c r="J8" s="6" t="s">
        <v>16</v>
      </c>
      <c r="K8" s="6" t="s">
        <v>37</v>
      </c>
    </row>
    <row r="9" spans="1:11" x14ac:dyDescent="0.35">
      <c r="A9" s="6">
        <v>2</v>
      </c>
      <c r="B9" s="6" t="s">
        <v>38</v>
      </c>
      <c r="C9" s="6" t="s">
        <v>12</v>
      </c>
      <c r="D9" s="6" t="s">
        <v>39</v>
      </c>
      <c r="E9" s="6" t="s">
        <v>21</v>
      </c>
      <c r="F9" s="6" t="s">
        <v>16</v>
      </c>
      <c r="G9" s="6" t="s">
        <v>15</v>
      </c>
      <c r="H9" s="6" t="s">
        <v>15</v>
      </c>
      <c r="I9" s="6" t="s">
        <v>17</v>
      </c>
      <c r="J9" s="6" t="s">
        <v>17</v>
      </c>
      <c r="K9" s="6" t="s">
        <v>40</v>
      </c>
    </row>
    <row r="10" spans="1:11" x14ac:dyDescent="0.35">
      <c r="A10" s="6">
        <v>2</v>
      </c>
      <c r="B10" s="6" t="s">
        <v>41</v>
      </c>
      <c r="C10" s="6" t="s">
        <v>12</v>
      </c>
      <c r="D10" s="6" t="s">
        <v>42</v>
      </c>
      <c r="E10" s="6" t="s">
        <v>21</v>
      </c>
      <c r="F10" s="6" t="s">
        <v>22</v>
      </c>
      <c r="G10" s="4" t="s">
        <v>16</v>
      </c>
      <c r="H10" s="6" t="s">
        <v>16</v>
      </c>
      <c r="I10" s="6" t="s">
        <v>16</v>
      </c>
      <c r="J10" s="6" t="s">
        <v>16</v>
      </c>
      <c r="K10" s="6" t="s">
        <v>23</v>
      </c>
    </row>
    <row r="11" spans="1:11" x14ac:dyDescent="0.35">
      <c r="A11" s="6">
        <v>2</v>
      </c>
      <c r="B11" s="6" t="s">
        <v>43</v>
      </c>
      <c r="C11" s="6" t="s">
        <v>12</v>
      </c>
      <c r="D11" s="6" t="s">
        <v>44</v>
      </c>
      <c r="E11" s="6" t="s">
        <v>21</v>
      </c>
      <c r="F11" s="6" t="s">
        <v>22</v>
      </c>
      <c r="G11" s="6" t="s">
        <v>15</v>
      </c>
      <c r="H11" s="6" t="s">
        <v>15</v>
      </c>
      <c r="I11" s="6" t="s">
        <v>15</v>
      </c>
      <c r="J11" s="6" t="s">
        <v>15</v>
      </c>
      <c r="K11" s="6"/>
    </row>
    <row r="12" spans="1:11" x14ac:dyDescent="0.35">
      <c r="A12" s="6">
        <v>2</v>
      </c>
      <c r="B12" s="6" t="s">
        <v>45</v>
      </c>
      <c r="C12" s="6" t="s">
        <v>27</v>
      </c>
      <c r="D12" s="6" t="s">
        <v>46</v>
      </c>
      <c r="E12" s="5" t="s">
        <v>22</v>
      </c>
      <c r="F12" s="5" t="s">
        <v>22</v>
      </c>
      <c r="G12" s="5" t="s">
        <v>22</v>
      </c>
      <c r="H12" s="5" t="s">
        <v>22</v>
      </c>
      <c r="I12" s="5" t="s">
        <v>22</v>
      </c>
      <c r="J12" s="5" t="s">
        <v>22</v>
      </c>
      <c r="K12" s="6" t="s">
        <v>31</v>
      </c>
    </row>
    <row r="13" spans="1:11" x14ac:dyDescent="0.35">
      <c r="A13" s="6">
        <v>2</v>
      </c>
      <c r="B13" s="6" t="s">
        <v>47</v>
      </c>
      <c r="C13" s="6" t="s">
        <v>12</v>
      </c>
      <c r="D13" s="6" t="s">
        <v>48</v>
      </c>
      <c r="E13" s="5" t="s">
        <v>22</v>
      </c>
      <c r="F13" s="5" t="s">
        <v>22</v>
      </c>
      <c r="G13" s="5" t="s">
        <v>22</v>
      </c>
      <c r="H13" s="5" t="s">
        <v>22</v>
      </c>
      <c r="I13" s="5" t="s">
        <v>22</v>
      </c>
      <c r="J13" s="5" t="s">
        <v>22</v>
      </c>
      <c r="K13" s="6" t="s">
        <v>31</v>
      </c>
    </row>
    <row r="14" spans="1:11" ht="29" x14ac:dyDescent="0.35">
      <c r="A14" s="2">
        <v>3</v>
      </c>
      <c r="B14" s="3" t="s">
        <v>49</v>
      </c>
      <c r="C14" s="2" t="s">
        <v>27</v>
      </c>
      <c r="D14" s="2" t="s">
        <v>50</v>
      </c>
      <c r="E14" s="2" t="s">
        <v>14</v>
      </c>
      <c r="F14" s="2" t="s">
        <v>16</v>
      </c>
      <c r="G14" s="4" t="s">
        <v>16</v>
      </c>
      <c r="H14" s="2" t="s">
        <v>16</v>
      </c>
      <c r="I14" s="2" t="s">
        <v>15</v>
      </c>
      <c r="J14" s="2" t="s">
        <v>16</v>
      </c>
      <c r="K14" s="2" t="s">
        <v>51</v>
      </c>
    </row>
    <row r="15" spans="1:11" x14ac:dyDescent="0.35">
      <c r="A15" s="2">
        <v>3</v>
      </c>
      <c r="B15" s="2" t="s">
        <v>52</v>
      </c>
      <c r="C15" s="2" t="s">
        <v>12</v>
      </c>
      <c r="D15" s="2" t="s">
        <v>53</v>
      </c>
      <c r="E15" s="2" t="s">
        <v>21</v>
      </c>
      <c r="F15" s="2" t="s">
        <v>16</v>
      </c>
      <c r="G15" s="2" t="s">
        <v>15</v>
      </c>
      <c r="H15" s="2" t="s">
        <v>15</v>
      </c>
      <c r="I15" s="2" t="s">
        <v>15</v>
      </c>
      <c r="J15" s="2" t="s">
        <v>17</v>
      </c>
      <c r="K15" s="2" t="s">
        <v>40</v>
      </c>
    </row>
    <row r="16" spans="1:11" x14ac:dyDescent="0.35">
      <c r="A16" s="2">
        <v>3</v>
      </c>
      <c r="B16" s="2" t="s">
        <v>54</v>
      </c>
      <c r="C16" s="2" t="s">
        <v>12</v>
      </c>
      <c r="D16" s="2" t="s">
        <v>55</v>
      </c>
      <c r="E16" s="2" t="s">
        <v>21</v>
      </c>
      <c r="F16" s="2" t="s">
        <v>22</v>
      </c>
      <c r="G16" s="2" t="s">
        <v>15</v>
      </c>
      <c r="H16" s="2" t="s">
        <v>16</v>
      </c>
      <c r="I16" s="2" t="s">
        <v>16</v>
      </c>
      <c r="J16" s="2" t="s">
        <v>16</v>
      </c>
      <c r="K16" s="2"/>
    </row>
    <row r="17" spans="1:11" x14ac:dyDescent="0.35">
      <c r="A17" s="2">
        <v>3</v>
      </c>
      <c r="B17" s="2" t="s">
        <v>56</v>
      </c>
      <c r="C17" s="2" t="s">
        <v>12</v>
      </c>
      <c r="D17" s="2" t="s">
        <v>57</v>
      </c>
      <c r="E17" s="2" t="s">
        <v>21</v>
      </c>
      <c r="F17" s="2" t="s">
        <v>22</v>
      </c>
      <c r="G17" s="2" t="s">
        <v>15</v>
      </c>
      <c r="H17" s="2" t="s">
        <v>22</v>
      </c>
      <c r="I17" s="2" t="s">
        <v>15</v>
      </c>
      <c r="J17" s="2" t="s">
        <v>15</v>
      </c>
      <c r="K17" s="2"/>
    </row>
    <row r="18" spans="1:11" x14ac:dyDescent="0.35">
      <c r="A18" s="2">
        <v>3</v>
      </c>
      <c r="B18" s="2" t="s">
        <v>58</v>
      </c>
      <c r="C18" s="2" t="s">
        <v>12</v>
      </c>
      <c r="D18" s="2" t="s">
        <v>59</v>
      </c>
      <c r="E18" s="5" t="s">
        <v>22</v>
      </c>
      <c r="F18" s="5" t="s">
        <v>22</v>
      </c>
      <c r="G18" s="5" t="s">
        <v>22</v>
      </c>
      <c r="H18" s="5" t="s">
        <v>22</v>
      </c>
      <c r="I18" s="5" t="s">
        <v>22</v>
      </c>
      <c r="J18" s="5" t="s">
        <v>22</v>
      </c>
      <c r="K18" s="2" t="s">
        <v>31</v>
      </c>
    </row>
    <row r="19" spans="1:11" x14ac:dyDescent="0.35">
      <c r="A19" s="2">
        <v>3</v>
      </c>
      <c r="B19" s="2" t="s">
        <v>60</v>
      </c>
      <c r="C19" s="2" t="s">
        <v>12</v>
      </c>
      <c r="D19" s="2" t="s">
        <v>61</v>
      </c>
      <c r="E19" s="5" t="s">
        <v>22</v>
      </c>
      <c r="F19" s="5" t="s">
        <v>22</v>
      </c>
      <c r="G19" s="5" t="s">
        <v>22</v>
      </c>
      <c r="H19" s="5" t="s">
        <v>22</v>
      </c>
      <c r="I19" s="5" t="s">
        <v>22</v>
      </c>
      <c r="J19" s="5" t="s">
        <v>22</v>
      </c>
      <c r="K19" s="2" t="s">
        <v>31</v>
      </c>
    </row>
    <row r="20" spans="1:11" x14ac:dyDescent="0.35">
      <c r="A20" s="6">
        <v>4</v>
      </c>
      <c r="B20" s="3" t="s">
        <v>62</v>
      </c>
      <c r="C20" s="6" t="s">
        <v>12</v>
      </c>
      <c r="D20" s="6" t="s">
        <v>63</v>
      </c>
      <c r="E20" s="6" t="s">
        <v>14</v>
      </c>
      <c r="F20" s="6" t="s">
        <v>22</v>
      </c>
      <c r="G20" s="6" t="s">
        <v>15</v>
      </c>
      <c r="H20" s="6" t="s">
        <v>22</v>
      </c>
      <c r="I20" s="6" t="s">
        <v>16</v>
      </c>
      <c r="J20" s="6" t="s">
        <v>15</v>
      </c>
      <c r="K20" s="6" t="s">
        <v>37</v>
      </c>
    </row>
    <row r="21" spans="1:11" x14ac:dyDescent="0.35">
      <c r="A21" s="6">
        <v>4</v>
      </c>
      <c r="B21" s="6" t="s">
        <v>64</v>
      </c>
      <c r="C21" s="6" t="s">
        <v>12</v>
      </c>
      <c r="D21" s="6" t="s">
        <v>65</v>
      </c>
      <c r="E21" s="6" t="s">
        <v>21</v>
      </c>
      <c r="F21" s="6" t="s">
        <v>16</v>
      </c>
      <c r="G21" s="4" t="s">
        <v>16</v>
      </c>
      <c r="H21" s="6" t="s">
        <v>15</v>
      </c>
      <c r="I21" s="6" t="s">
        <v>15</v>
      </c>
      <c r="J21" s="6" t="s">
        <v>15</v>
      </c>
      <c r="K21" s="6" t="s">
        <v>23</v>
      </c>
    </row>
    <row r="22" spans="1:11" x14ac:dyDescent="0.35">
      <c r="A22" s="6">
        <v>4</v>
      </c>
      <c r="B22" s="6" t="s">
        <v>66</v>
      </c>
      <c r="C22" s="6" t="s">
        <v>12</v>
      </c>
      <c r="D22" s="6" t="s">
        <v>67</v>
      </c>
      <c r="E22" s="6" t="s">
        <v>21</v>
      </c>
      <c r="F22" s="6" t="s">
        <v>16</v>
      </c>
      <c r="G22" s="6" t="s">
        <v>15</v>
      </c>
      <c r="H22" s="6" t="s">
        <v>16</v>
      </c>
      <c r="I22" s="6" t="s">
        <v>16</v>
      </c>
      <c r="J22" s="6" t="s">
        <v>15</v>
      </c>
      <c r="K22" s="6"/>
    </row>
    <row r="23" spans="1:11" x14ac:dyDescent="0.35">
      <c r="A23" s="6">
        <v>4</v>
      </c>
      <c r="B23" s="6" t="s">
        <v>68</v>
      </c>
      <c r="C23" s="6" t="s">
        <v>12</v>
      </c>
      <c r="D23" s="6" t="s">
        <v>69</v>
      </c>
      <c r="E23" s="6" t="s">
        <v>21</v>
      </c>
      <c r="F23" s="6" t="s">
        <v>16</v>
      </c>
      <c r="G23" s="6" t="s">
        <v>15</v>
      </c>
      <c r="H23" s="6" t="s">
        <v>16</v>
      </c>
      <c r="I23" s="6" t="s">
        <v>15</v>
      </c>
      <c r="J23" s="6" t="s">
        <v>15</v>
      </c>
      <c r="K23" s="6"/>
    </row>
    <row r="24" spans="1:11" x14ac:dyDescent="0.35">
      <c r="A24" s="6">
        <v>4</v>
      </c>
      <c r="B24" s="6" t="s">
        <v>70</v>
      </c>
      <c r="C24" s="6" t="s">
        <v>27</v>
      </c>
      <c r="D24" s="6" t="s">
        <v>71</v>
      </c>
      <c r="E24" s="6" t="s">
        <v>21</v>
      </c>
      <c r="F24" s="6" t="s">
        <v>22</v>
      </c>
      <c r="G24" s="6" t="s">
        <v>15</v>
      </c>
      <c r="H24" s="6" t="s">
        <v>16</v>
      </c>
      <c r="I24" s="6" t="s">
        <v>15</v>
      </c>
      <c r="J24" s="6" t="s">
        <v>16</v>
      </c>
      <c r="K24" s="6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"/>
  <sheetViews>
    <sheetView workbookViewId="0"/>
  </sheetViews>
  <sheetFormatPr defaultRowHeight="14.5" x14ac:dyDescent="0.35"/>
  <cols>
    <col min="1" max="2" width="8" customWidth="1"/>
    <col min="3" max="3" width="18" customWidth="1"/>
    <col min="4" max="5" width="14" customWidth="1"/>
    <col min="6" max="6" width="16" customWidth="1"/>
    <col min="7" max="8" width="14" customWidth="1"/>
    <col min="9" max="9" width="28" customWidth="1"/>
  </cols>
  <sheetData>
    <row r="1" spans="1:9" ht="32" customHeight="1" x14ac:dyDescent="0.35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</row>
    <row r="2" spans="1:9" x14ac:dyDescent="0.35">
      <c r="A2" s="7">
        <v>1</v>
      </c>
      <c r="B2" s="7">
        <f>COUNTIF('Team Assignments'!A2:A24,1)</f>
        <v>6</v>
      </c>
      <c r="C2" s="7">
        <f>COUNTIFS('Team Assignments'!A2:A24,1,'Team Assignments'!E2:E24,"Yes")</f>
        <v>1</v>
      </c>
      <c r="D2" s="7">
        <f>COUNTIFS('Team Assignments'!A2:A24,1,'Team Assignments'!G2:G24,"Moderate")+COUNTIFS('Team Assignments'!A2:A24,1,'Team Assignments'!G2:G24,"Expert")</f>
        <v>3</v>
      </c>
      <c r="E2" s="7">
        <f>COUNTIFS('Team Assignments'!A2:A24,1,'Team Assignments'!H2:H24,"Moderate")+COUNTIFS('Team Assignments'!A2:A24,1,'Team Assignments'!H2:H24,"Expert")</f>
        <v>1</v>
      </c>
      <c r="F2" s="7">
        <f>COUNTIFS('Team Assignments'!A2:A24,1,'Team Assignments'!I2:I24,"Moderate")+COUNTIFS('Team Assignments'!A2:A24,1,'Team Assignments'!I2:I24,"Expert")</f>
        <v>2</v>
      </c>
      <c r="G2" s="7">
        <f>COUNTIFS('Team Assignments'!A2:A24,1,'Team Assignments'!J2:J24,"Moderate")+COUNTIFS('Team Assignments'!A2:A24,1,'Team Assignments'!J2:J24,"Expert")</f>
        <v>3</v>
      </c>
      <c r="H2" s="7">
        <f>SUMPRODUCT(('Team Assignments'!A2:A24=1)*(('Team Assignments'!I2:I24="Expert")+('Team Assignments'!J2:J24="Expert")&gt;0))</f>
        <v>1</v>
      </c>
      <c r="I2" s="7" t="str">
        <f>COUNTIFS('Team Assignments'!A2:A24,1,'Team Assignments'!C2:C24,"Hanoi")&amp;" Hanoi / "&amp;COUNTIFS('Team Assignments'!A2:A24,1,'Team Assignments'!C2:C24,"HCMC")&amp;" HCMC / "&amp;COUNTIFS('Team Assignments'!A2:A24,1,'Team Assignments'!C2:C24,"Hawaii")&amp;" Hawaii"</f>
        <v>2 Hanoi / 4 HCMC / 0 Hawaii</v>
      </c>
    </row>
    <row r="3" spans="1:9" x14ac:dyDescent="0.35">
      <c r="A3" s="7">
        <v>2</v>
      </c>
      <c r="B3" s="7">
        <f>COUNTIF('Team Assignments'!A2:A24,2)</f>
        <v>6</v>
      </c>
      <c r="C3" s="7">
        <f>COUNTIFS('Team Assignments'!A2:A24,2,'Team Assignments'!E2:E24,"Yes")</f>
        <v>1</v>
      </c>
      <c r="D3" s="7">
        <f>COUNTIFS('Team Assignments'!A2:A24,2,'Team Assignments'!G2:G24,"Moderate")+COUNTIFS('Team Assignments'!A2:A24,2,'Team Assignments'!G2:G24,"Expert")</f>
        <v>3</v>
      </c>
      <c r="E3" s="7">
        <f>COUNTIFS('Team Assignments'!A2:A24,2,'Team Assignments'!H2:H24,"Moderate")+COUNTIFS('Team Assignments'!A2:A24,2,'Team Assignments'!H2:H24,"Expert")</f>
        <v>2</v>
      </c>
      <c r="F3" s="7">
        <f>COUNTIFS('Team Assignments'!A2:A24,2,'Team Assignments'!I2:I24,"Moderate")+COUNTIFS('Team Assignments'!A2:A24,2,'Team Assignments'!I2:I24,"Expert")</f>
        <v>2</v>
      </c>
      <c r="G3" s="7">
        <f>COUNTIFS('Team Assignments'!A2:A24,2,'Team Assignments'!J2:J24,"Moderate")+COUNTIFS('Team Assignments'!A2:A24,2,'Team Assignments'!J2:J24,"Expert")</f>
        <v>2</v>
      </c>
      <c r="H3" s="7">
        <f>SUMPRODUCT(('Team Assignments'!A2:A24=2)*(('Team Assignments'!I2:I24="Expert")+('Team Assignments'!J2:J24="Expert")&gt;0))</f>
        <v>1</v>
      </c>
      <c r="I3" s="7" t="str">
        <f>COUNTIFS('Team Assignments'!A2:A24,2,'Team Assignments'!C2:C24,"Hanoi")&amp;" Hanoi / "&amp;COUNTIFS('Team Assignments'!A2:A24,2,'Team Assignments'!C2:C24,"HCMC")&amp;" HCMC / "&amp;COUNTIFS('Team Assignments'!A2:A24,2,'Team Assignments'!C2:C24,"Hawaii")&amp;" Hawaii"</f>
        <v>1 Hanoi / 4 HCMC / 1 Hawaii</v>
      </c>
    </row>
    <row r="4" spans="1:9" x14ac:dyDescent="0.35">
      <c r="A4" s="7">
        <v>3</v>
      </c>
      <c r="B4" s="7">
        <f>COUNTIF('Team Assignments'!A2:A24,3)</f>
        <v>6</v>
      </c>
      <c r="C4" s="7">
        <f>COUNTIFS('Team Assignments'!A2:A24,3,'Team Assignments'!E2:E24,"Yes")</f>
        <v>1</v>
      </c>
      <c r="D4" s="7">
        <f>COUNTIFS('Team Assignments'!A2:A24,3,'Team Assignments'!G2:G24,"Moderate")+COUNTIFS('Team Assignments'!A2:A24,3,'Team Assignments'!G2:G24,"Expert")</f>
        <v>3</v>
      </c>
      <c r="E4" s="7">
        <f>COUNTIFS('Team Assignments'!A2:A24,3,'Team Assignments'!H2:H24,"Moderate")+COUNTIFS('Team Assignments'!A2:A24,3,'Team Assignments'!H2:H24,"Expert")</f>
        <v>1</v>
      </c>
      <c r="F4" s="7">
        <f>COUNTIFS('Team Assignments'!A2:A24,3,'Team Assignments'!I2:I24,"Moderate")+COUNTIFS('Team Assignments'!A2:A24,3,'Team Assignments'!I2:I24,"Expert")</f>
        <v>3</v>
      </c>
      <c r="G4" s="7">
        <f>COUNTIFS('Team Assignments'!A2:A24,3,'Team Assignments'!J2:J24,"Moderate")+COUNTIFS('Team Assignments'!A2:A24,3,'Team Assignments'!J2:J24,"Expert")</f>
        <v>2</v>
      </c>
      <c r="H4" s="7">
        <f>SUMPRODUCT(('Team Assignments'!A2:A24=3)*(('Team Assignments'!I2:I24="Expert")+('Team Assignments'!J2:J24="Expert")&gt;0))</f>
        <v>1</v>
      </c>
      <c r="I4" s="7" t="str">
        <f>COUNTIFS('Team Assignments'!A2:A24,3,'Team Assignments'!C2:C24,"Hanoi")&amp;" Hanoi / "&amp;COUNTIFS('Team Assignments'!A2:A24,3,'Team Assignments'!C2:C24,"HCMC")&amp;" HCMC / "&amp;COUNTIFS('Team Assignments'!A2:A24,3,'Team Assignments'!C2:C24,"Hawaii")&amp;" Hawaii"</f>
        <v>1 Hanoi / 5 HCMC / 0 Hawaii</v>
      </c>
    </row>
    <row r="5" spans="1:9" x14ac:dyDescent="0.35">
      <c r="A5" s="7">
        <v>4</v>
      </c>
      <c r="B5" s="7">
        <f>COUNTIF('Team Assignments'!A2:A24,4)</f>
        <v>5</v>
      </c>
      <c r="C5" s="7">
        <f>COUNTIFS('Team Assignments'!A2:A24,4,'Team Assignments'!E2:E24,"Yes")</f>
        <v>1</v>
      </c>
      <c r="D5" s="7">
        <f>COUNTIFS('Team Assignments'!A2:A24,4,'Team Assignments'!G2:G24,"Moderate")+COUNTIFS('Team Assignments'!A2:A24,4,'Team Assignments'!G2:G24,"Expert")</f>
        <v>4</v>
      </c>
      <c r="E5" s="7">
        <f>COUNTIFS('Team Assignments'!A2:A24,4,'Team Assignments'!H2:H24,"Moderate")+COUNTIFS('Team Assignments'!A2:A24,4,'Team Assignments'!H2:H24,"Expert")</f>
        <v>1</v>
      </c>
      <c r="F5" s="7">
        <f>COUNTIFS('Team Assignments'!A2:A24,4,'Team Assignments'!I2:I24,"Moderate")+COUNTIFS('Team Assignments'!A2:A24,4,'Team Assignments'!I2:I24,"Expert")</f>
        <v>3</v>
      </c>
      <c r="G5" s="7">
        <f>COUNTIFS('Team Assignments'!A2:A24,4,'Team Assignments'!J2:J24,"Moderate")+COUNTIFS('Team Assignments'!A2:A24,4,'Team Assignments'!J2:J24,"Expert")</f>
        <v>4</v>
      </c>
      <c r="H5" s="7">
        <f>SUMPRODUCT(('Team Assignments'!A2:A24=4)*(('Team Assignments'!I2:I24="Expert")+('Team Assignments'!J2:J24="Expert")&gt;0))</f>
        <v>0</v>
      </c>
      <c r="I5" s="7" t="str">
        <f>COUNTIFS('Team Assignments'!A2:A24,4,'Team Assignments'!C2:C24,"Hanoi")&amp;" Hanoi / "&amp;COUNTIFS('Team Assignments'!A2:A24,4,'Team Assignments'!C2:C24,"HCMC")&amp;" HCMC / "&amp;COUNTIFS('Team Assignments'!A2:A24,4,'Team Assignments'!C2:C24,"Hawaii")&amp;" Hawaii"</f>
        <v>1 Hanoi / 4 HCMC / 0 Hawaii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6"/>
  <sheetViews>
    <sheetView workbookViewId="0"/>
  </sheetViews>
  <sheetFormatPr defaultRowHeight="14.5" x14ac:dyDescent="0.35"/>
  <cols>
    <col min="1" max="1" width="110" customWidth="1"/>
  </cols>
  <sheetData>
    <row r="1" spans="1:1" ht="16.5" x14ac:dyDescent="0.35">
      <c r="A1" s="8" t="s">
        <v>80</v>
      </c>
    </row>
    <row r="2" spans="1:1" ht="16.5" x14ac:dyDescent="0.35">
      <c r="A2" s="9"/>
    </row>
    <row r="3" spans="1:1" ht="16.5" x14ac:dyDescent="0.35">
      <c r="A3" s="9" t="s">
        <v>81</v>
      </c>
    </row>
    <row r="4" spans="1:1" ht="16.5" x14ac:dyDescent="0.35">
      <c r="A4" s="9" t="s">
        <v>82</v>
      </c>
    </row>
    <row r="5" spans="1:1" ht="16.5" x14ac:dyDescent="0.35">
      <c r="A5" s="9"/>
    </row>
    <row r="6" spans="1:1" ht="16.5" x14ac:dyDescent="0.35">
      <c r="A6" s="8" t="s">
        <v>83</v>
      </c>
    </row>
    <row r="7" spans="1:1" ht="16.5" x14ac:dyDescent="0.35">
      <c r="A7" s="9" t="s">
        <v>84</v>
      </c>
    </row>
    <row r="8" spans="1:1" ht="33" x14ac:dyDescent="0.35">
      <c r="A8" s="9" t="s">
        <v>85</v>
      </c>
    </row>
    <row r="9" spans="1:1" ht="33" x14ac:dyDescent="0.35">
      <c r="A9" s="9" t="s">
        <v>86</v>
      </c>
    </row>
    <row r="10" spans="1:1" ht="33" x14ac:dyDescent="0.35">
      <c r="A10" s="9" t="s">
        <v>87</v>
      </c>
    </row>
    <row r="11" spans="1:1" ht="16.5" x14ac:dyDescent="0.35">
      <c r="A11" s="9" t="s">
        <v>88</v>
      </c>
    </row>
    <row r="12" spans="1:1" ht="16.5" x14ac:dyDescent="0.35">
      <c r="A12" s="9"/>
    </row>
    <row r="13" spans="1:1" ht="16.5" x14ac:dyDescent="0.35">
      <c r="A13" s="8" t="s">
        <v>89</v>
      </c>
    </row>
    <row r="14" spans="1:1" ht="16.5" x14ac:dyDescent="0.35">
      <c r="A14" s="9" t="s">
        <v>90</v>
      </c>
    </row>
    <row r="15" spans="1:1" ht="33" x14ac:dyDescent="0.35">
      <c r="A15" s="9" t="s">
        <v>91</v>
      </c>
    </row>
    <row r="16" spans="1:1" ht="16.5" x14ac:dyDescent="0.35">
      <c r="A16" s="9" t="s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Team Assignments</vt:lpstr>
      <vt:lpstr>Team Summary</vt:lpstr>
      <vt:lpstr>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Adam Stauffer</cp:lastModifiedBy>
  <dcterms:created xsi:type="dcterms:W3CDTF">2026-05-09T23:57:54Z</dcterms:created>
  <dcterms:modified xsi:type="dcterms:W3CDTF">2026-05-09T23:58:12Z</dcterms:modified>
</cp:coreProperties>
</file>