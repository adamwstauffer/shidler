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eivable" sheetId="2" state="visible" r:id="rId2"/>
    <sheet xmlns:r="http://schemas.openxmlformats.org/officeDocument/2006/relationships" name="Payable" sheetId="3" state="visible" r:id="rId3"/>
    <sheet xmlns:r="http://schemas.openxmlformats.org/officeDocument/2006/relationships" name="Notes" sheetId="4" state="visible" r:id="rId4"/>
  </sheets>
  <definedNames>
    <definedName name="FC_AMT_rec">'Receivable'!$D$5</definedName>
    <definedName name="S0_in_rec">'Receivable'!$D$6</definedName>
    <definedName name="F0_in_rec">'Receivable'!$D$7</definedName>
    <definedName name="R_USD_rec">'Receivable'!$D$8</definedName>
    <definedName name="R_FC_rec">'Receivable'!$D$9</definedName>
    <definedName name="T_DAYS_rec">'Receivable'!$D$10</definedName>
    <definedName name="BASIS_rec">'Receivable'!$D$11</definedName>
    <definedName name="K_PUT_rec">'Receivable'!$D$12</definedName>
    <definedName name="PREM_PUT_rec">'Receivable'!$D$13</definedName>
    <definedName name="STEP_FRAC_rec">'Receivable'!$D$14</definedName>
    <definedName name="DF_USD_rec">'Receivable'!$D$17</definedName>
    <definedName name="DF_FC_rec">'Receivable'!$D$18</definedName>
    <definedName name="FV_PREM_PUT_rec">'Receivable'!$D$19</definedName>
    <definedName name="USD_FWD_rec">'Receivable'!$C$24</definedName>
    <definedName name="USD_MM_rec">'Receivable'!$C$25</definedName>
    <definedName name="USD_BASE_PUT_rec">'Receivable'!$C$26</definedName>
    <definedName name="USD_FLOOR_PUT_rec">'Receivable'!$C$27</definedName>
    <definedName name="FC_AMT_pay">'Payable'!$D$5</definedName>
    <definedName name="S0_in_pay">'Payable'!$D$6</definedName>
    <definedName name="F0_in_pay">'Payable'!$D$7</definedName>
    <definedName name="R_USD_pay">'Payable'!$D$8</definedName>
    <definedName name="R_FC_pay">'Payable'!$D$9</definedName>
    <definedName name="T_DAYS_pay">'Payable'!$D$10</definedName>
    <definedName name="BASIS_pay">'Payable'!$D$11</definedName>
    <definedName name="K_CALL_pay">'Payable'!$D$12</definedName>
    <definedName name="PREM_CALL_pay">'Payable'!$D$13</definedName>
    <definedName name="STEP_FRAC_pay">'Payable'!$D$14</definedName>
    <definedName name="DF_USD_pay">'Payable'!$D$17</definedName>
    <definedName name="DF_FC_pay">'Payable'!$D$18</definedName>
    <definedName name="FV_PREM_CALL_pay">'Payable'!$D$19</definedName>
    <definedName name="USD_FWD_pay">'Payable'!$C$24</definedName>
    <definedName name="USD_MM_pay">'Payable'!$C$25</definedName>
    <definedName name="USD_BASE_CALL_pay">'Payable'!$C$26</definedName>
    <definedName name="USD_CEILING_CALL_pay">'Payable'!$C$27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&quot;$&quot;#,##0;(&quot;$&quot;#,##0);-"/>
    <numFmt numFmtId="166" formatCode="yyyy-mm-dd"/>
  </numFmts>
  <fonts count="15">
    <font>
      <name val="Calibri"/>
      <family val="2"/>
      <color theme="1"/>
      <sz val="11"/>
      <scheme val="minor"/>
    </font>
    <font>
      <name val="Open Sans"/>
      <b val="1"/>
      <color rgb="00FFFFFF"/>
      <sz val="9"/>
    </font>
    <font>
      <name val="Open Sans"/>
      <b val="1"/>
      <color rgb="00000000"/>
      <sz val="14"/>
    </font>
    <font>
      <name val="Open Sans"/>
      <i val="1"/>
      <color rgb="00525252"/>
      <sz val="10"/>
    </font>
    <font>
      <name val="Open Sans"/>
      <b val="1"/>
      <color rgb="00024731"/>
      <sz val="12"/>
    </font>
    <font>
      <name val="Open Sans"/>
      <color rgb="00000000"/>
      <sz val="10"/>
    </font>
    <font>
      <name val="Open Sans"/>
      <b val="1"/>
      <color rgb="00024731"/>
      <sz val="10"/>
    </font>
    <font>
      <name val="Open Sans"/>
      <b val="1"/>
      <color rgb="00FFFFFF"/>
      <sz val="10"/>
    </font>
    <font>
      <name val="Open Sans"/>
      <b val="1"/>
      <color rgb="00000000"/>
      <sz val="10"/>
    </font>
    <font>
      <name val="Open Sans"/>
      <b val="1"/>
      <color rgb="000000FF"/>
      <sz val="10"/>
    </font>
    <font>
      <name val="Open Sans"/>
      <color rgb="00024731"/>
      <sz val="10"/>
    </font>
    <font>
      <name val="Open Sans"/>
      <color rgb="00B43232"/>
      <sz val="10"/>
    </font>
    <font>
      <name val="Open Sans"/>
      <i val="1"/>
      <color rgb="00525252"/>
      <sz val="9"/>
    </font>
    <font>
      <name val="Open Sans"/>
      <color rgb="000000FF"/>
      <sz val="10"/>
    </font>
    <font>
      <name val="Open Sans"/>
      <color rgb="00525252"/>
      <sz val="10"/>
    </font>
  </fonts>
  <fills count="6">
    <fill>
      <patternFill/>
    </fill>
    <fill>
      <patternFill patternType="gray125"/>
    </fill>
    <fill>
      <patternFill patternType="solid">
        <fgColor rgb="00024731"/>
        <bgColor rgb="00024731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E6F2EF"/>
        <bgColor rgb="00E6F2EF"/>
      </patternFill>
    </fill>
  </fills>
  <borders count="8">
    <border>
      <left/>
      <right/>
      <top/>
      <bottom/>
      <diagonal/>
    </border>
    <border>
      <bottom style="thin">
        <color rgb="00024731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rgb="00B2B2B2"/>
      </top>
    </border>
    <border>
      <left/>
      <right/>
      <top style="thin">
        <color rgb="00B2B2B2"/>
      </top>
      <bottom/>
      <diagonal/>
    </border>
    <border>
      <left/>
      <right style="thin">
        <color rgb="00B2B2B2"/>
      </right>
      <top style="thin">
        <color rgb="00B2B2B2"/>
      </top>
      <bottom/>
      <diagonal/>
    </border>
    <border>
      <left/>
      <right/>
      <top style="thin">
        <color rgb="00B2B2B2"/>
      </top>
      <bottom style="thin">
        <color rgb="00B2B2B2"/>
      </bottom>
      <diagonal/>
    </border>
    <border>
      <left/>
      <right style="thin">
        <color rgb="00B2B2B2"/>
      </right>
      <top style="thin">
        <color rgb="00B2B2B2"/>
      </top>
      <bottom style="thin">
        <color rgb="00B2B2B2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/>
    </xf>
    <xf numFmtId="0" fontId="7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 wrapText="1"/>
    </xf>
    <xf numFmtId="3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3" fontId="13" fillId="3" borderId="2" applyAlignment="1" pivotButton="0" quotePrefix="0" xfId="0">
      <alignment horizontal="right" vertical="center"/>
    </xf>
    <xf numFmtId="164" fontId="13" fillId="3" borderId="2" applyAlignment="1" pivotButton="0" quotePrefix="0" xfId="0">
      <alignment horizontal="right" vertical="center"/>
    </xf>
    <xf numFmtId="10" fontId="13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4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49" fontId="5" fillId="3" borderId="2" applyAlignment="1" pivotButton="0" quotePrefix="0" xfId="0">
      <alignment horizontal="left" vertical="center" wrapText="1"/>
    </xf>
    <xf numFmtId="166" fontId="5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Proceeds by Strategy vs. Future Spot S_T</a:t>
            </a:r>
          </a:p>
        </rich>
      </tx>
    </title>
    <plotArea>
      <lineChart>
        <grouping val="standard"/>
        <ser>
          <idx val="0"/>
          <order val="0"/>
          <tx>
            <strRef>
              <f>'Receivable'!D32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18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'Receivable'!$C$33:$C$43</f>
            </numRef>
          </cat>
          <val>
            <numRef>
              <f>'Receivable'!$D$33:$D$43</f>
            </numRef>
          </val>
        </ser>
        <ser>
          <idx val="1"/>
          <order val="1"/>
          <tx>
            <strRef>
              <f>'Receivable'!E32</f>
            </strRef>
          </tx>
          <spPr>
            <a:solidFill xmlns:a="http://schemas.openxmlformats.org/drawingml/2006/main">
              <a:srgbClr val="024731"/>
            </a:solidFill>
            <a:ln xmlns:a="http://schemas.openxmlformats.org/drawingml/2006/main" w="22000">
              <a:solidFill>
                <a:srgbClr val="0247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'Receivable'!$C$33:$C$43</f>
            </numRef>
          </cat>
          <val>
            <numRef>
              <f>'Receivable'!$E$33:$E$43</f>
            </numRef>
          </val>
        </ser>
        <ser>
          <idx val="2"/>
          <order val="2"/>
          <tx>
            <strRef>
              <f>'Receivable'!F32</f>
            </strRef>
          </tx>
          <spPr>
            <a:solidFill xmlns:a="http://schemas.openxmlformats.org/drawingml/2006/main">
              <a:srgbClr val="013D26"/>
            </a:solidFill>
            <a:ln xmlns:a="http://schemas.openxmlformats.org/drawingml/2006/main" w="18000">
              <a:solidFill>
                <a:srgbClr val="013D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'Receivable'!$C$33:$C$43</f>
            </numRef>
          </cat>
          <val>
            <numRef>
              <f>'Receivable'!$F$33:$F$43</f>
            </numRef>
          </val>
        </ser>
        <ser>
          <idx val="3"/>
          <order val="3"/>
          <tx>
            <strRef>
              <f>'Receivable'!G32</f>
            </strRef>
          </tx>
          <spPr>
            <a:solidFill xmlns:a="http://schemas.openxmlformats.org/drawingml/2006/main">
              <a:srgbClr val="525252"/>
            </a:solidFill>
            <a:ln xmlns:a="http://schemas.openxmlformats.org/drawingml/2006/main" w="22000">
              <a:solidFill>
                <a:srgbClr val="5252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'Receivable'!$C$33:$C$43</f>
            </numRef>
          </cat>
          <val>
            <numRef>
              <f>'Receivable'!$G$33:$G$43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S_T (USD per FC)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Proceeds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Outlay by Strategy vs. Future Spot S_T</a:t>
            </a:r>
          </a:p>
        </rich>
      </tx>
    </title>
    <plotArea>
      <lineChart>
        <grouping val="standard"/>
        <ser>
          <idx val="0"/>
          <order val="0"/>
          <tx>
            <strRef>
              <f>'Payable'!D32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18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'Payable'!$C$33:$C$43</f>
            </numRef>
          </cat>
          <val>
            <numRef>
              <f>'Payable'!$D$33:$D$43</f>
            </numRef>
          </val>
        </ser>
        <ser>
          <idx val="1"/>
          <order val="1"/>
          <tx>
            <strRef>
              <f>'Payable'!E32</f>
            </strRef>
          </tx>
          <spPr>
            <a:solidFill xmlns:a="http://schemas.openxmlformats.org/drawingml/2006/main">
              <a:srgbClr val="024731"/>
            </a:solidFill>
            <a:ln xmlns:a="http://schemas.openxmlformats.org/drawingml/2006/main" w="22000">
              <a:solidFill>
                <a:srgbClr val="0247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'Payable'!$C$33:$C$43</f>
            </numRef>
          </cat>
          <val>
            <numRef>
              <f>'Payable'!$E$33:$E$43</f>
            </numRef>
          </val>
        </ser>
        <ser>
          <idx val="2"/>
          <order val="2"/>
          <tx>
            <strRef>
              <f>'Payable'!F32</f>
            </strRef>
          </tx>
          <spPr>
            <a:solidFill xmlns:a="http://schemas.openxmlformats.org/drawingml/2006/main">
              <a:srgbClr val="013D26"/>
            </a:solidFill>
            <a:ln xmlns:a="http://schemas.openxmlformats.org/drawingml/2006/main" w="18000">
              <a:solidFill>
                <a:srgbClr val="013D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'Payable'!$C$33:$C$43</f>
            </numRef>
          </cat>
          <val>
            <numRef>
              <f>'Payable'!$F$33:$F$43</f>
            </numRef>
          </val>
        </ser>
        <ser>
          <idx val="3"/>
          <order val="3"/>
          <tx>
            <strRef>
              <f>'Payable'!G32</f>
            </strRef>
          </tx>
          <spPr>
            <a:solidFill xmlns:a="http://schemas.openxmlformats.org/drawingml/2006/main">
              <a:srgbClr val="525252"/>
            </a:solidFill>
            <a:ln xmlns:a="http://schemas.openxmlformats.org/drawingml/2006/main" w="22000">
              <a:solidFill>
                <a:srgbClr val="5252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'Payable'!$C$33:$C$43</f>
            </numRef>
          </cat>
          <val>
            <numRef>
              <f>'Payable'!$G$33:$G$43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S_T (USD per FC)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Outlay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4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" customWidth="1" min="12" max="12"/>
  </cols>
  <sheetData>
    <row r="1" ht="22" customHeight="1">
      <c r="A1" s="1" t="inlineStr">
        <is>
          <t>UNIVERSITY OF HAWAIʻI AT MĀNOA · SHIDLER COLLEGE OF BUSINESS</t>
        </is>
      </c>
    </row>
    <row r="2" ht="24" customHeight="1">
      <c r="A2" s="2" t="inlineStr">
        <is>
          <t>FIN 321 — International Finance &amp; Securities</t>
        </is>
      </c>
    </row>
    <row r="3" ht="18" customHeight="1">
      <c r="A3" s="3" t="inlineStr">
        <is>
          <t>FX Transaction Hedging Template · Built to spec v0.1 · UH Mānoa brand v1.0.0</t>
        </is>
      </c>
    </row>
    <row r="5" ht="20" customHeight="1">
      <c r="A5" s="4" t="inlineStr">
        <is>
          <t>Purpose</t>
        </is>
      </c>
    </row>
    <row r="6" ht="36" customHeight="1">
      <c r="B6" s="5" t="inlineStr">
        <is>
          <t>This workbook implements the four-strategy FX transaction-hedging framework specified in _templates/example-spec-template.md. Given a foreign-currency exposure (receivable or payable), it compares No Hedge, Forward, Money-Market, and Option strategies across a ±5% spot-rate sensitivity grid, using a consistent set of named ranges and standardized calculation flow.</t>
        </is>
      </c>
    </row>
    <row r="7" ht="36" customHeight="1"/>
    <row r="9" ht="20" customHeight="1">
      <c r="A9" s="4" t="inlineStr">
        <is>
          <t>How to Use</t>
        </is>
      </c>
    </row>
    <row r="10" ht="18" customHeight="1">
      <c r="B10" s="6" t="inlineStr">
        <is>
          <t>1.</t>
        </is>
      </c>
      <c r="C10" s="5" t="inlineStr">
        <is>
          <t>Open the Receivable or Payable tab (whichever matches your exposure).</t>
        </is>
      </c>
    </row>
    <row r="11" ht="18" customHeight="1">
      <c r="B11" s="6" t="inlineStr">
        <is>
          <t>2.</t>
        </is>
      </c>
      <c r="C11" s="5" t="inlineStr">
        <is>
          <t>Enter scenario inputs in the YELLOW cells: notional, spot, forward, interest rates, tenor, strike, and premium.</t>
        </is>
      </c>
    </row>
    <row r="12" ht="18" customHeight="1">
      <c r="B12" s="6" t="inlineStr">
        <is>
          <t>3.</t>
        </is>
      </c>
      <c r="C12" s="5" t="inlineStr">
        <is>
          <t>Review the DERIVED block (DF_USD, DF_FC, option premium FV) — these update automatically.</t>
        </is>
      </c>
    </row>
    <row r="13" ht="18" customHeight="1">
      <c r="B13" s="6" t="inlineStr">
        <is>
          <t>4.</t>
        </is>
      </c>
      <c r="C13" s="5" t="inlineStr">
        <is>
          <t>Read the STRATEGY SUMMARY panel for base-case USD outcome per strategy.</t>
        </is>
      </c>
    </row>
    <row r="14" ht="18" customHeight="1">
      <c r="B14" s="6" t="inlineStr">
        <is>
          <t>5.</t>
        </is>
      </c>
      <c r="C14" s="5" t="inlineStr">
        <is>
          <t>Inspect the SENSITIVITY grid and chart to see how each strategy performs across S_T ± 5%.</t>
        </is>
      </c>
    </row>
    <row r="15" ht="18" customHeight="1">
      <c r="B15" s="6" t="inlineStr">
        <is>
          <t>6.</t>
        </is>
      </c>
      <c r="C15" s="5" t="inlineStr">
        <is>
          <t>Record data sources and access dates on the NOTES tab (required for reproducibility).</t>
        </is>
      </c>
    </row>
    <row r="16" ht="18" customHeight="1">
      <c r="B16" s="6" t="inlineStr">
        <is>
          <t>7.</t>
        </is>
      </c>
      <c r="C16" s="5" t="inlineStr">
        <is>
          <t>Confirm the parity check: USD_MM should match USD_FWD within rounding.</t>
        </is>
      </c>
    </row>
    <row r="19" ht="20" customHeight="1">
      <c r="A19" s="4" t="inlineStr">
        <is>
          <t>Legend — Cell Color Coding</t>
        </is>
      </c>
    </row>
    <row r="20" ht="20" customHeight="1">
      <c r="B20" s="7" t="inlineStr">
        <is>
          <t>Swatch</t>
        </is>
      </c>
      <c r="C20" s="7" t="inlineStr">
        <is>
          <t>Role</t>
        </is>
      </c>
      <c r="D20" s="7" t="inlineStr">
        <is>
          <t>Description</t>
        </is>
      </c>
    </row>
    <row r="21" ht="18" customHeight="1">
      <c r="B21" s="8" t="inlineStr">
        <is>
          <t>■ sample</t>
        </is>
      </c>
      <c r="C21" s="9" t="inlineStr">
        <is>
          <t>Input</t>
        </is>
      </c>
      <c r="D21" s="10" t="inlineStr">
        <is>
          <t>Editable scenario values: notional, spot, forward, rates, strikes, premia.</t>
        </is>
      </c>
    </row>
    <row r="22" ht="18" customHeight="1">
      <c r="B22" s="11" t="inlineStr">
        <is>
          <t>■ sample</t>
        </is>
      </c>
      <c r="C22" s="9" t="inlineStr">
        <is>
          <t>Assumption / Hardcode</t>
        </is>
      </c>
      <c r="D22" s="10" t="inlineStr">
        <is>
          <t>Blue text on white — analyst judgment knobs (e.g., strike override, step size).</t>
        </is>
      </c>
    </row>
    <row r="23" ht="18" customHeight="1">
      <c r="B23" s="12" t="inlineStr">
        <is>
          <t>■ sample</t>
        </is>
      </c>
      <c r="C23" s="9" t="inlineStr">
        <is>
          <t>Formula</t>
        </is>
      </c>
      <c r="D23" s="10" t="inlineStr">
        <is>
          <t>Black text on white — all calculations and derived values. Do not edit.</t>
        </is>
      </c>
    </row>
    <row r="24" ht="18" customHeight="1">
      <c r="B24" s="13" t="inlineStr">
        <is>
          <t>■ sample</t>
        </is>
      </c>
      <c r="C24" s="9" t="inlineStr">
        <is>
          <t>Cross-sheet link</t>
        </is>
      </c>
      <c r="D24" s="10" t="inlineStr">
        <is>
          <t>UH Green text — pulls from another tab in this workbook.</t>
        </is>
      </c>
    </row>
    <row r="25" ht="18" customHeight="1">
      <c r="B25" s="14" t="inlineStr">
        <is>
          <t>■ sample</t>
        </is>
      </c>
      <c r="C25" s="9" t="inlineStr">
        <is>
          <t>External link</t>
        </is>
      </c>
      <c r="D25" s="10" t="inlineStr">
        <is>
          <t>Dark red text — external data pull (Bloomberg, FRED, etc.).</t>
        </is>
      </c>
    </row>
    <row r="26" ht="18" customHeight="1">
      <c r="B26" s="7" t="inlineStr">
        <is>
          <t>■ sample</t>
        </is>
      </c>
      <c r="C26" s="9" t="inlineStr">
        <is>
          <t>Header / Banner</t>
        </is>
      </c>
      <c r="D26" s="10" t="inlineStr">
        <is>
          <t>UH Green fill with white text — section headers and table headers.</t>
        </is>
      </c>
    </row>
    <row r="29" ht="20" customHeight="1">
      <c r="A29" s="4" t="inlineStr">
        <is>
          <t>Named Range Index</t>
        </is>
      </c>
    </row>
    <row r="30" ht="20" customHeight="1">
      <c r="B30" s="7" t="inlineStr">
        <is>
          <t>Standardized Name (spec)</t>
        </is>
      </c>
      <c r="C30" s="7" t="inlineStr">
        <is>
          <t>Workbook Name</t>
        </is>
      </c>
      <c r="D30" s="7" t="inlineStr">
        <is>
          <t>Description</t>
        </is>
      </c>
      <c r="E30" s="7" t="inlineStr">
        <is>
          <t>Unit</t>
        </is>
      </c>
      <c r="F30" s="7" t="inlineStr">
        <is>
          <t>Sheet</t>
        </is>
      </c>
      <c r="G30" s="7" t="inlineStr">
        <is>
          <t>Cell</t>
        </is>
      </c>
    </row>
    <row r="31" ht="16" customHeight="1">
      <c r="B31" s="15" t="inlineStr">
        <is>
          <t>FC_AMT</t>
        </is>
      </c>
      <c r="C31" s="16" t="inlineStr">
        <is>
          <t>FC_AMT_rec</t>
        </is>
      </c>
      <c r="D31" s="10" t="inlineStr">
        <is>
          <t>Foreign-currency receivable</t>
        </is>
      </c>
      <c r="E31" s="17" t="inlineStr">
        <is>
          <t>FC units</t>
        </is>
      </c>
      <c r="F31" s="17" t="inlineStr">
        <is>
          <t>Receivable</t>
        </is>
      </c>
      <c r="G31" s="17" t="inlineStr">
        <is>
          <t>$D$5</t>
        </is>
      </c>
    </row>
    <row r="32" ht="16" customHeight="1">
      <c r="B32" s="15" t="inlineStr">
        <is>
          <t>S0_in</t>
        </is>
      </c>
      <c r="C32" s="16" t="inlineStr">
        <is>
          <t>S0_in_rec</t>
        </is>
      </c>
      <c r="D32" s="10" t="inlineStr">
        <is>
          <t>Spot exchange rate</t>
        </is>
      </c>
      <c r="E32" s="17" t="inlineStr">
        <is>
          <t>USD/FC</t>
        </is>
      </c>
      <c r="F32" s="17" t="inlineStr">
        <is>
          <t>Receivable</t>
        </is>
      </c>
      <c r="G32" s="17" t="inlineStr">
        <is>
          <t>$D$6</t>
        </is>
      </c>
    </row>
    <row r="33" ht="16" customHeight="1">
      <c r="B33" s="15" t="inlineStr">
        <is>
          <t>F0_in</t>
        </is>
      </c>
      <c r="C33" s="16" t="inlineStr">
        <is>
          <t>F0_in_rec</t>
        </is>
      </c>
      <c r="D33" s="10" t="inlineStr">
        <is>
          <t>Forward rate</t>
        </is>
      </c>
      <c r="E33" s="17" t="inlineStr">
        <is>
          <t>USD/FC</t>
        </is>
      </c>
      <c r="F33" s="17" t="inlineStr">
        <is>
          <t>Receivable</t>
        </is>
      </c>
      <c r="G33" s="17" t="inlineStr">
        <is>
          <t>$D$7</t>
        </is>
      </c>
    </row>
    <row r="34" ht="16" customHeight="1">
      <c r="B34" s="15" t="inlineStr">
        <is>
          <t>R_USD</t>
        </is>
      </c>
      <c r="C34" s="16" t="inlineStr">
        <is>
          <t>R_USD_rec</t>
        </is>
      </c>
      <c r="D34" s="10" t="inlineStr">
        <is>
          <t>USD interest rate (annual)</t>
        </is>
      </c>
      <c r="E34" s="17" t="inlineStr">
        <is>
          <t>%</t>
        </is>
      </c>
      <c r="F34" s="17" t="inlineStr">
        <is>
          <t>Receivable</t>
        </is>
      </c>
      <c r="G34" s="17" t="inlineStr">
        <is>
          <t>$D$8</t>
        </is>
      </c>
    </row>
    <row r="35" ht="16" customHeight="1">
      <c r="B35" s="15" t="inlineStr">
        <is>
          <t>R_FC</t>
        </is>
      </c>
      <c r="C35" s="16" t="inlineStr">
        <is>
          <t>R_FC_rec</t>
        </is>
      </c>
      <c r="D35" s="10" t="inlineStr">
        <is>
          <t>FC interest rate (annual)</t>
        </is>
      </c>
      <c r="E35" s="17" t="inlineStr">
        <is>
          <t>%</t>
        </is>
      </c>
      <c r="F35" s="17" t="inlineStr">
        <is>
          <t>Receivable</t>
        </is>
      </c>
      <c r="G35" s="17" t="inlineStr">
        <is>
          <t>$D$9</t>
        </is>
      </c>
    </row>
    <row r="36" ht="16" customHeight="1">
      <c r="B36" s="15" t="inlineStr">
        <is>
          <t>T_DAYS</t>
        </is>
      </c>
      <c r="C36" s="16" t="inlineStr">
        <is>
          <t>T_DAYS_rec</t>
        </is>
      </c>
      <c r="D36" s="10" t="inlineStr">
        <is>
          <t>Days to settlement</t>
        </is>
      </c>
      <c r="E36" s="17" t="inlineStr">
        <is>
          <t>Days</t>
        </is>
      </c>
      <c r="F36" s="17" t="inlineStr">
        <is>
          <t>Receivable</t>
        </is>
      </c>
      <c r="G36" s="17" t="inlineStr">
        <is>
          <t>$D$10</t>
        </is>
      </c>
    </row>
    <row r="37" ht="16" customHeight="1">
      <c r="B37" s="15" t="inlineStr">
        <is>
          <t>BASIS</t>
        </is>
      </c>
      <c r="C37" s="16" t="inlineStr">
        <is>
          <t>BASIS_rec</t>
        </is>
      </c>
      <c r="D37" s="10" t="inlineStr">
        <is>
          <t>Day-count denominator</t>
        </is>
      </c>
      <c r="E37" s="17" t="inlineStr">
        <is>
          <t>Days</t>
        </is>
      </c>
      <c r="F37" s="17" t="inlineStr">
        <is>
          <t>Receivable</t>
        </is>
      </c>
      <c r="G37" s="17" t="inlineStr">
        <is>
          <t>$D$11</t>
        </is>
      </c>
    </row>
    <row r="38" ht="16" customHeight="1">
      <c r="B38" s="15" t="inlineStr">
        <is>
          <t>K_PUT</t>
        </is>
      </c>
      <c r="C38" s="16" t="inlineStr">
        <is>
          <t>K_PUT_rec</t>
        </is>
      </c>
      <c r="D38" s="10" t="inlineStr">
        <is>
          <t>Put option strike</t>
        </is>
      </c>
      <c r="E38" s="17" t="inlineStr">
        <is>
          <t>USD/FC</t>
        </is>
      </c>
      <c r="F38" s="17" t="inlineStr">
        <is>
          <t>Receivable</t>
        </is>
      </c>
      <c r="G38" s="17" t="inlineStr">
        <is>
          <t>$D$12</t>
        </is>
      </c>
    </row>
    <row r="39" ht="16" customHeight="1">
      <c r="B39" s="15" t="inlineStr">
        <is>
          <t>PREM_PUT</t>
        </is>
      </c>
      <c r="C39" s="16" t="inlineStr">
        <is>
          <t>PREM_PUT_rec</t>
        </is>
      </c>
      <c r="D39" s="10" t="inlineStr">
        <is>
          <t>Put premium (USD per 1 FC)</t>
        </is>
      </c>
      <c r="E39" s="17" t="inlineStr">
        <is>
          <t>USD</t>
        </is>
      </c>
      <c r="F39" s="17" t="inlineStr">
        <is>
          <t>Receivable</t>
        </is>
      </c>
      <c r="G39" s="17" t="inlineStr">
        <is>
          <t>$D$13</t>
        </is>
      </c>
    </row>
    <row r="40" ht="16" customHeight="1">
      <c r="B40" s="15" t="inlineStr">
        <is>
          <t>STEP_FRAC</t>
        </is>
      </c>
      <c r="C40" s="16" t="inlineStr">
        <is>
          <t>STEP_FRAC_rec</t>
        </is>
      </c>
      <c r="D40" s="10" t="inlineStr">
        <is>
          <t>Sensitivity step size</t>
        </is>
      </c>
      <c r="E40" s="17" t="inlineStr">
        <is>
          <t>%</t>
        </is>
      </c>
      <c r="F40" s="17" t="inlineStr">
        <is>
          <t>Receivable</t>
        </is>
      </c>
      <c r="G40" s="17" t="inlineStr">
        <is>
          <t>$D$14</t>
        </is>
      </c>
    </row>
    <row r="41" ht="16" customHeight="1">
      <c r="B41" s="15" t="inlineStr">
        <is>
          <t>DF_USD</t>
        </is>
      </c>
      <c r="C41" s="16" t="inlineStr">
        <is>
          <t>DF_USD_rec</t>
        </is>
      </c>
      <c r="D41" s="10" t="inlineStr">
        <is>
          <t>USD accumulation factor</t>
        </is>
      </c>
      <c r="E41" s="17" t="inlineStr">
        <is>
          <t>×</t>
        </is>
      </c>
      <c r="F41" s="17" t="inlineStr">
        <is>
          <t>Receivable</t>
        </is>
      </c>
      <c r="G41" s="17" t="inlineStr">
        <is>
          <t>$D$17</t>
        </is>
      </c>
    </row>
    <row r="42" ht="16" customHeight="1">
      <c r="B42" s="15" t="inlineStr">
        <is>
          <t>DF_FC</t>
        </is>
      </c>
      <c r="C42" s="16" t="inlineStr">
        <is>
          <t>DF_FC_rec</t>
        </is>
      </c>
      <c r="D42" s="10" t="inlineStr">
        <is>
          <t>FC accumulation factor</t>
        </is>
      </c>
      <c r="E42" s="17" t="inlineStr">
        <is>
          <t>×</t>
        </is>
      </c>
      <c r="F42" s="17" t="inlineStr">
        <is>
          <t>Receivable</t>
        </is>
      </c>
      <c r="G42" s="17" t="inlineStr">
        <is>
          <t>$D$18</t>
        </is>
      </c>
    </row>
    <row r="43" ht="16" customHeight="1">
      <c r="B43" s="15" t="inlineStr">
        <is>
          <t>FV_PREM_PUT</t>
        </is>
      </c>
      <c r="C43" s="16" t="inlineStr">
        <is>
          <t>FV_PREM_PUT_rec</t>
        </is>
      </c>
      <c r="D43" s="10" t="inlineStr">
        <is>
          <t>FV of put premium (neg.)</t>
        </is>
      </c>
      <c r="E43" s="17" t="inlineStr">
        <is>
          <t>USD</t>
        </is>
      </c>
      <c r="F43" s="17" t="inlineStr">
        <is>
          <t>Receivable</t>
        </is>
      </c>
      <c r="G43" s="17" t="inlineStr">
        <is>
          <t>$D$19</t>
        </is>
      </c>
    </row>
    <row r="44" ht="16" customHeight="1">
      <c r="B44" s="15" t="inlineStr">
        <is>
          <t>USD_FWD</t>
        </is>
      </c>
      <c r="C44" s="16" t="inlineStr">
        <is>
          <t>USD_FWD_rec</t>
        </is>
      </c>
      <c r="D44" s="10" t="inlineStr">
        <is>
          <t>Forward hedge USD proceeds</t>
        </is>
      </c>
      <c r="E44" s="17" t="inlineStr">
        <is>
          <t>USD</t>
        </is>
      </c>
      <c r="F44" s="17" t="inlineStr">
        <is>
          <t>Receivable</t>
        </is>
      </c>
      <c r="G44" s="17" t="inlineStr">
        <is>
          <t>$C$24</t>
        </is>
      </c>
    </row>
    <row r="45" ht="16" customHeight="1">
      <c r="B45" s="15" t="inlineStr">
        <is>
          <t>USD_MM</t>
        </is>
      </c>
      <c r="C45" s="16" t="inlineStr">
        <is>
          <t>USD_MM_rec</t>
        </is>
      </c>
      <c r="D45" s="10" t="inlineStr">
        <is>
          <t>Money-market hedge USD proceeds</t>
        </is>
      </c>
      <c r="E45" s="17" t="inlineStr">
        <is>
          <t>USD</t>
        </is>
      </c>
      <c r="F45" s="17" t="inlineStr">
        <is>
          <t>Receivable</t>
        </is>
      </c>
      <c r="G45" s="17" t="inlineStr">
        <is>
          <t>$C$25</t>
        </is>
      </c>
    </row>
    <row r="46" ht="16" customHeight="1">
      <c r="B46" s="15" t="inlineStr">
        <is>
          <t>USD_BASE_PUT</t>
        </is>
      </c>
      <c r="C46" s="16" t="inlineStr">
        <is>
          <t>USD_BASE_PUT_rec</t>
        </is>
      </c>
      <c r="D46" s="10" t="inlineStr">
        <is>
          <t>Put hedge USD proceeds @ baseline</t>
        </is>
      </c>
      <c r="E46" s="17" t="inlineStr">
        <is>
          <t>USD</t>
        </is>
      </c>
      <c r="F46" s="17" t="inlineStr">
        <is>
          <t>Receivable</t>
        </is>
      </c>
      <c r="G46" s="17" t="inlineStr">
        <is>
          <t>$C$26</t>
        </is>
      </c>
    </row>
    <row r="47" ht="16" customHeight="1">
      <c r="B47" s="15" t="inlineStr">
        <is>
          <t>USD_FLOOR_PUT</t>
        </is>
      </c>
      <c r="C47" s="16" t="inlineStr">
        <is>
          <t>USD_FLOOR_PUT_rec</t>
        </is>
      </c>
      <c r="D47" s="10" t="inlineStr">
        <is>
          <t>Worst-case put outcome on grid</t>
        </is>
      </c>
      <c r="E47" s="17" t="inlineStr">
        <is>
          <t>USD</t>
        </is>
      </c>
      <c r="F47" s="17" t="inlineStr">
        <is>
          <t>Receivable</t>
        </is>
      </c>
      <c r="G47" s="17" t="inlineStr">
        <is>
          <t>$C$27</t>
        </is>
      </c>
    </row>
    <row r="48" ht="16" customHeight="1">
      <c r="B48" s="15" t="inlineStr">
        <is>
          <t>FC_AMT</t>
        </is>
      </c>
      <c r="C48" s="16" t="inlineStr">
        <is>
          <t>FC_AMT_pay</t>
        </is>
      </c>
      <c r="D48" s="10" t="inlineStr">
        <is>
          <t>Foreign-currency payable</t>
        </is>
      </c>
      <c r="E48" s="17" t="inlineStr">
        <is>
          <t>FC units</t>
        </is>
      </c>
      <c r="F48" s="17" t="inlineStr">
        <is>
          <t>Payable</t>
        </is>
      </c>
      <c r="G48" s="17" t="inlineStr">
        <is>
          <t>$D$5</t>
        </is>
      </c>
    </row>
    <row r="49" ht="16" customHeight="1">
      <c r="B49" s="15" t="inlineStr">
        <is>
          <t>S0_in</t>
        </is>
      </c>
      <c r="C49" s="16" t="inlineStr">
        <is>
          <t>S0_in_pay</t>
        </is>
      </c>
      <c r="D49" s="10" t="inlineStr">
        <is>
          <t>Spot exchange rate</t>
        </is>
      </c>
      <c r="E49" s="17" t="inlineStr">
        <is>
          <t>USD/FC</t>
        </is>
      </c>
      <c r="F49" s="17" t="inlineStr">
        <is>
          <t>Payable</t>
        </is>
      </c>
      <c r="G49" s="17" t="inlineStr">
        <is>
          <t>$D$6</t>
        </is>
      </c>
    </row>
    <row r="50" ht="16" customHeight="1">
      <c r="B50" s="15" t="inlineStr">
        <is>
          <t>F0_in</t>
        </is>
      </c>
      <c r="C50" s="16" t="inlineStr">
        <is>
          <t>F0_in_pay</t>
        </is>
      </c>
      <c r="D50" s="10" t="inlineStr">
        <is>
          <t>Forward rate</t>
        </is>
      </c>
      <c r="E50" s="17" t="inlineStr">
        <is>
          <t>USD/FC</t>
        </is>
      </c>
      <c r="F50" s="17" t="inlineStr">
        <is>
          <t>Payable</t>
        </is>
      </c>
      <c r="G50" s="17" t="inlineStr">
        <is>
          <t>$D$7</t>
        </is>
      </c>
    </row>
    <row r="51" ht="16" customHeight="1">
      <c r="B51" s="15" t="inlineStr">
        <is>
          <t>R_USD</t>
        </is>
      </c>
      <c r="C51" s="16" t="inlineStr">
        <is>
          <t>R_USD_pay</t>
        </is>
      </c>
      <c r="D51" s="10" t="inlineStr">
        <is>
          <t>USD interest rate (annual)</t>
        </is>
      </c>
      <c r="E51" s="17" t="inlineStr">
        <is>
          <t>%</t>
        </is>
      </c>
      <c r="F51" s="17" t="inlineStr">
        <is>
          <t>Payable</t>
        </is>
      </c>
      <c r="G51" s="17" t="inlineStr">
        <is>
          <t>$D$8</t>
        </is>
      </c>
    </row>
    <row r="52" ht="16" customHeight="1">
      <c r="B52" s="15" t="inlineStr">
        <is>
          <t>R_FC</t>
        </is>
      </c>
      <c r="C52" s="16" t="inlineStr">
        <is>
          <t>R_FC_pay</t>
        </is>
      </c>
      <c r="D52" s="10" t="inlineStr">
        <is>
          <t>FC interest rate (annual)</t>
        </is>
      </c>
      <c r="E52" s="17" t="inlineStr">
        <is>
          <t>%</t>
        </is>
      </c>
      <c r="F52" s="17" t="inlineStr">
        <is>
          <t>Payable</t>
        </is>
      </c>
      <c r="G52" s="17" t="inlineStr">
        <is>
          <t>$D$9</t>
        </is>
      </c>
    </row>
    <row r="53" ht="16" customHeight="1">
      <c r="B53" s="15" t="inlineStr">
        <is>
          <t>T_DAYS</t>
        </is>
      </c>
      <c r="C53" s="16" t="inlineStr">
        <is>
          <t>T_DAYS_pay</t>
        </is>
      </c>
      <c r="D53" s="10" t="inlineStr">
        <is>
          <t>Days to settlement</t>
        </is>
      </c>
      <c r="E53" s="17" t="inlineStr">
        <is>
          <t>Days</t>
        </is>
      </c>
      <c r="F53" s="17" t="inlineStr">
        <is>
          <t>Payable</t>
        </is>
      </c>
      <c r="G53" s="17" t="inlineStr">
        <is>
          <t>$D$10</t>
        </is>
      </c>
    </row>
    <row r="54" ht="16" customHeight="1">
      <c r="B54" s="15" t="inlineStr">
        <is>
          <t>BASIS</t>
        </is>
      </c>
      <c r="C54" s="16" t="inlineStr">
        <is>
          <t>BASIS_pay</t>
        </is>
      </c>
      <c r="D54" s="10" t="inlineStr">
        <is>
          <t>Day-count denominator</t>
        </is>
      </c>
      <c r="E54" s="17" t="inlineStr">
        <is>
          <t>Days</t>
        </is>
      </c>
      <c r="F54" s="17" t="inlineStr">
        <is>
          <t>Payable</t>
        </is>
      </c>
      <c r="G54" s="17" t="inlineStr">
        <is>
          <t>$D$11</t>
        </is>
      </c>
    </row>
    <row r="55" ht="16" customHeight="1">
      <c r="B55" s="15" t="inlineStr">
        <is>
          <t>K_CALL</t>
        </is>
      </c>
      <c r="C55" s="16" t="inlineStr">
        <is>
          <t>K_CALL_pay</t>
        </is>
      </c>
      <c r="D55" s="10" t="inlineStr">
        <is>
          <t>Call option strike</t>
        </is>
      </c>
      <c r="E55" s="17" t="inlineStr">
        <is>
          <t>USD/FC</t>
        </is>
      </c>
      <c r="F55" s="17" t="inlineStr">
        <is>
          <t>Payable</t>
        </is>
      </c>
      <c r="G55" s="17" t="inlineStr">
        <is>
          <t>$D$12</t>
        </is>
      </c>
    </row>
    <row r="56" ht="16" customHeight="1">
      <c r="B56" s="15" t="inlineStr">
        <is>
          <t>PREM_CALL</t>
        </is>
      </c>
      <c r="C56" s="16" t="inlineStr">
        <is>
          <t>PREM_CALL_pay</t>
        </is>
      </c>
      <c r="D56" s="10" t="inlineStr">
        <is>
          <t>Call premium (USD per 1 FC)</t>
        </is>
      </c>
      <c r="E56" s="17" t="inlineStr">
        <is>
          <t>USD</t>
        </is>
      </c>
      <c r="F56" s="17" t="inlineStr">
        <is>
          <t>Payable</t>
        </is>
      </c>
      <c r="G56" s="17" t="inlineStr">
        <is>
          <t>$D$13</t>
        </is>
      </c>
    </row>
    <row r="57" ht="16" customHeight="1">
      <c r="B57" s="15" t="inlineStr">
        <is>
          <t>STEP_FRAC</t>
        </is>
      </c>
      <c r="C57" s="16" t="inlineStr">
        <is>
          <t>STEP_FRAC_pay</t>
        </is>
      </c>
      <c r="D57" s="10" t="inlineStr">
        <is>
          <t>Sensitivity step size</t>
        </is>
      </c>
      <c r="E57" s="17" t="inlineStr">
        <is>
          <t>%</t>
        </is>
      </c>
      <c r="F57" s="17" t="inlineStr">
        <is>
          <t>Payable</t>
        </is>
      </c>
      <c r="G57" s="17" t="inlineStr">
        <is>
          <t>$D$14</t>
        </is>
      </c>
    </row>
    <row r="58" ht="16" customHeight="1">
      <c r="B58" s="15" t="inlineStr">
        <is>
          <t>DF_USD</t>
        </is>
      </c>
      <c r="C58" s="16" t="inlineStr">
        <is>
          <t>DF_USD_pay</t>
        </is>
      </c>
      <c r="D58" s="10" t="inlineStr">
        <is>
          <t>USD accumulation factor</t>
        </is>
      </c>
      <c r="E58" s="17" t="inlineStr">
        <is>
          <t>×</t>
        </is>
      </c>
      <c r="F58" s="17" t="inlineStr">
        <is>
          <t>Payable</t>
        </is>
      </c>
      <c r="G58" s="17" t="inlineStr">
        <is>
          <t>$D$17</t>
        </is>
      </c>
    </row>
    <row r="59" ht="16" customHeight="1">
      <c r="B59" s="15" t="inlineStr">
        <is>
          <t>DF_FC</t>
        </is>
      </c>
      <c r="C59" s="16" t="inlineStr">
        <is>
          <t>DF_FC_pay</t>
        </is>
      </c>
      <c r="D59" s="10" t="inlineStr">
        <is>
          <t>FC accumulation factor</t>
        </is>
      </c>
      <c r="E59" s="17" t="inlineStr">
        <is>
          <t>×</t>
        </is>
      </c>
      <c r="F59" s="17" t="inlineStr">
        <is>
          <t>Payable</t>
        </is>
      </c>
      <c r="G59" s="17" t="inlineStr">
        <is>
          <t>$D$18</t>
        </is>
      </c>
    </row>
    <row r="60" ht="16" customHeight="1">
      <c r="B60" s="15" t="inlineStr">
        <is>
          <t>FV_PREM_CALL</t>
        </is>
      </c>
      <c r="C60" s="16" t="inlineStr">
        <is>
          <t>FV_PREM_CALL_pay</t>
        </is>
      </c>
      <c r="D60" s="10" t="inlineStr">
        <is>
          <t>FV of call premium (neg.)</t>
        </is>
      </c>
      <c r="E60" s="17" t="inlineStr">
        <is>
          <t>USD</t>
        </is>
      </c>
      <c r="F60" s="17" t="inlineStr">
        <is>
          <t>Payable</t>
        </is>
      </c>
      <c r="G60" s="17" t="inlineStr">
        <is>
          <t>$D$19</t>
        </is>
      </c>
    </row>
    <row r="61" ht="16" customHeight="1">
      <c r="B61" s="15" t="inlineStr">
        <is>
          <t>USD_FWD</t>
        </is>
      </c>
      <c r="C61" s="16" t="inlineStr">
        <is>
          <t>USD_FWD_pay</t>
        </is>
      </c>
      <c r="D61" s="10" t="inlineStr">
        <is>
          <t>Forward hedge USD outlay</t>
        </is>
      </c>
      <c r="E61" s="17" t="inlineStr">
        <is>
          <t>USD</t>
        </is>
      </c>
      <c r="F61" s="17" t="inlineStr">
        <is>
          <t>Payable</t>
        </is>
      </c>
      <c r="G61" s="17" t="inlineStr">
        <is>
          <t>$C$24</t>
        </is>
      </c>
    </row>
    <row r="62" ht="16" customHeight="1">
      <c r="B62" s="15" t="inlineStr">
        <is>
          <t>USD_MM</t>
        </is>
      </c>
      <c r="C62" s="16" t="inlineStr">
        <is>
          <t>USD_MM_pay</t>
        </is>
      </c>
      <c r="D62" s="10" t="inlineStr">
        <is>
          <t>Money-market hedge USD outlay</t>
        </is>
      </c>
      <c r="E62" s="17" t="inlineStr">
        <is>
          <t>USD</t>
        </is>
      </c>
      <c r="F62" s="17" t="inlineStr">
        <is>
          <t>Payable</t>
        </is>
      </c>
      <c r="G62" s="17" t="inlineStr">
        <is>
          <t>$C$25</t>
        </is>
      </c>
    </row>
    <row r="63" ht="16" customHeight="1">
      <c r="B63" s="15" t="inlineStr">
        <is>
          <t>USD_BASE_CALL</t>
        </is>
      </c>
      <c r="C63" s="16" t="inlineStr">
        <is>
          <t>USD_BASE_CALL_pay</t>
        </is>
      </c>
      <c r="D63" s="10" t="inlineStr">
        <is>
          <t>Call hedge USD outlay @ baseline</t>
        </is>
      </c>
      <c r="E63" s="17" t="inlineStr">
        <is>
          <t>USD</t>
        </is>
      </c>
      <c r="F63" s="17" t="inlineStr">
        <is>
          <t>Payable</t>
        </is>
      </c>
      <c r="G63" s="17" t="inlineStr">
        <is>
          <t>$C$26</t>
        </is>
      </c>
    </row>
    <row r="64" ht="16" customHeight="1">
      <c r="B64" s="15" t="inlineStr">
        <is>
          <t>USD_CEILING_CALL</t>
        </is>
      </c>
      <c r="C64" s="16" t="inlineStr">
        <is>
          <t>USD_CEILING_CALL_pay</t>
        </is>
      </c>
      <c r="D64" s="10" t="inlineStr">
        <is>
          <t>Worst-case call outcome on grid</t>
        </is>
      </c>
      <c r="E64" s="17" t="inlineStr">
        <is>
          <t>USD</t>
        </is>
      </c>
      <c r="F64" s="17" t="inlineStr">
        <is>
          <t>Payable</t>
        </is>
      </c>
      <c r="G64" s="17" t="inlineStr">
        <is>
          <t>$C$27</t>
        </is>
      </c>
    </row>
    <row r="67" ht="30" customHeight="1">
      <c r="B67" s="18" t="inlineStr">
        <is>
          <t>Prepared per UH Mānoa brand standards (docs/_branding/design.json v1.0.0). Primary green #024731 · Black #000000 · Silver #B2B2B2 · Body Open Sans, 10–12 pt · ADA-compliant contrast · Flush-left alignment · No custom palettes or gradients.</t>
        </is>
      </c>
    </row>
  </sheetData>
  <mergeCells count="23">
    <mergeCell ref="C16:K16"/>
    <mergeCell ref="D26:K26"/>
    <mergeCell ref="C10:K10"/>
    <mergeCell ref="D30"/>
    <mergeCell ref="D22:K22"/>
    <mergeCell ref="A3:L3"/>
    <mergeCell ref="C12:K12"/>
    <mergeCell ref="A2:L2"/>
    <mergeCell ref="C11:K11"/>
    <mergeCell ref="D21:K21"/>
    <mergeCell ref="A5:L5"/>
    <mergeCell ref="A29:L29"/>
    <mergeCell ref="B6:K7"/>
    <mergeCell ref="A19:L19"/>
    <mergeCell ref="C13:K13"/>
    <mergeCell ref="A9:L9"/>
    <mergeCell ref="B67:K67"/>
    <mergeCell ref="C15:K15"/>
    <mergeCell ref="D25:K25"/>
    <mergeCell ref="C14:K14"/>
    <mergeCell ref="A1:L1"/>
    <mergeCell ref="D24:K24"/>
    <mergeCell ref="D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5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" customWidth="1" min="13" max="13"/>
  </cols>
  <sheetData>
    <row r="1" ht="22" customHeight="1">
      <c r="A1" s="1" t="inlineStr">
        <is>
          <t>UNIVERSITY OF HAWAIʻI AT MĀNOA · SHIDLER COLLEGE OF BUSINESS · FIN 321</t>
        </is>
      </c>
    </row>
    <row r="2" ht="24" customHeight="1">
      <c r="A2" s="2" t="inlineStr">
        <is>
          <t>FX Hedging — Foreign-Currency Receivable</t>
        </is>
      </c>
    </row>
    <row r="3" ht="18" customHeight="1">
      <c r="A3" s="3" t="inlineStr">
        <is>
          <t>Example: U.S. exporter expecting FC-denominated revenue in T_DAYS days.</t>
        </is>
      </c>
    </row>
    <row r="4" ht="20" customHeight="1">
      <c r="A4" s="4" t="inlineStr">
        <is>
          <t>Inputs (edit YELLOW cells)</t>
        </is>
      </c>
    </row>
    <row r="5">
      <c r="B5" s="15" t="inlineStr">
        <is>
          <t>FC_AMT_rec</t>
        </is>
      </c>
      <c r="C5" s="10" t="inlineStr">
        <is>
          <t>Foreign-currency notional</t>
        </is>
      </c>
      <c r="D5" s="19" t="n">
        <v>10000000</v>
      </c>
      <c r="E5" s="17" t="inlineStr">
        <is>
          <t>FC units</t>
        </is>
      </c>
    </row>
    <row r="6">
      <c r="B6" s="15" t="inlineStr">
        <is>
          <t>S0_in_rec</t>
        </is>
      </c>
      <c r="C6" s="10" t="inlineStr">
        <is>
          <t>Spot exchange rate (S₀)</t>
        </is>
      </c>
      <c r="D6" s="20" t="n">
        <v>1.25</v>
      </c>
      <c r="E6" s="17" t="inlineStr">
        <is>
          <t>USD/FC</t>
        </is>
      </c>
    </row>
    <row r="7">
      <c r="B7" s="15" t="inlineStr">
        <is>
          <t>F0_in_rec</t>
        </is>
      </c>
      <c r="C7" s="10" t="inlineStr">
        <is>
          <t>Forward rate to settlement (F₀)</t>
        </is>
      </c>
      <c r="D7" s="20" t="n">
        <v>1.262</v>
      </c>
      <c r="E7" s="17" t="inlineStr">
        <is>
          <t>USD/FC</t>
        </is>
      </c>
    </row>
    <row r="8">
      <c r="B8" s="15" t="inlineStr">
        <is>
          <t>R_USD_rec</t>
        </is>
      </c>
      <c r="C8" s="10" t="inlineStr">
        <is>
          <t>USD interest rate (annual)</t>
        </is>
      </c>
      <c r="D8" s="21" t="n">
        <v>0.055</v>
      </c>
      <c r="E8" s="17" t="inlineStr">
        <is>
          <t>%</t>
        </is>
      </c>
    </row>
    <row r="9">
      <c r="B9" s="15" t="inlineStr">
        <is>
          <t>R_FC_rec</t>
        </is>
      </c>
      <c r="C9" s="10" t="inlineStr">
        <is>
          <t>FC interest rate (annual)</t>
        </is>
      </c>
      <c r="D9" s="21" t="n">
        <v>0.045</v>
      </c>
      <c r="E9" s="17" t="inlineStr">
        <is>
          <t>%</t>
        </is>
      </c>
    </row>
    <row r="10">
      <c r="B10" s="15" t="inlineStr">
        <is>
          <t>T_DAYS_rec</t>
        </is>
      </c>
      <c r="C10" s="10" t="inlineStr">
        <is>
          <t>Days to settlement</t>
        </is>
      </c>
      <c r="D10" s="19" t="n">
        <v>365</v>
      </c>
      <c r="E10" s="17" t="inlineStr">
        <is>
          <t>Days</t>
        </is>
      </c>
    </row>
    <row r="11">
      <c r="B11" s="15" t="inlineStr">
        <is>
          <t>BASIS_rec</t>
        </is>
      </c>
      <c r="C11" s="10" t="inlineStr">
        <is>
          <t>Day-count denominator (assumption)</t>
        </is>
      </c>
      <c r="D11" s="22" t="n">
        <v>360</v>
      </c>
      <c r="E11" s="17" t="inlineStr">
        <is>
          <t>Days</t>
        </is>
      </c>
    </row>
    <row r="12">
      <c r="B12" s="15" t="inlineStr">
        <is>
          <t>K_PUT_rec</t>
        </is>
      </c>
      <c r="C12" s="10" t="inlineStr">
        <is>
          <t>Put option strike (assumption — default = S₀)</t>
        </is>
      </c>
      <c r="D12" s="23">
        <f>S0_in_rec</f>
        <v/>
      </c>
      <c r="E12" s="17" t="inlineStr">
        <is>
          <t>USD/FC</t>
        </is>
      </c>
    </row>
    <row r="13">
      <c r="B13" s="15" t="inlineStr">
        <is>
          <t>PREM_PUT_rec</t>
        </is>
      </c>
      <c r="C13" s="10" t="inlineStr">
        <is>
          <t>Option premium (USD per 1 FC)</t>
        </is>
      </c>
      <c r="D13" s="20" t="n">
        <v>0.017</v>
      </c>
      <c r="E13" s="17" t="inlineStr">
        <is>
          <t>USD</t>
        </is>
      </c>
    </row>
    <row r="14">
      <c r="B14" s="15" t="inlineStr">
        <is>
          <t>STEP_FRAC_rec</t>
        </is>
      </c>
      <c r="C14" s="10" t="inlineStr">
        <is>
          <t>Sensitivity step size (assumption)</t>
        </is>
      </c>
      <c r="D14" s="24" t="n">
        <v>0.01</v>
      </c>
      <c r="E14" s="17" t="inlineStr">
        <is>
          <t>%</t>
        </is>
      </c>
    </row>
    <row r="16" ht="20" customHeight="1">
      <c r="A16" s="4" t="inlineStr">
        <is>
          <t>Derived Values</t>
        </is>
      </c>
    </row>
    <row r="17">
      <c r="B17" s="15" t="inlineStr">
        <is>
          <t>DF_USD_rec</t>
        </is>
      </c>
      <c r="C17" s="10" t="inlineStr">
        <is>
          <t>USD accumulation factor = 1 + R_USD × T_DAYS/BASIS</t>
        </is>
      </c>
      <c r="D17" s="25">
        <f>1+R_USD_rec*T_DAYS_rec/BASIS_rec</f>
        <v/>
      </c>
      <c r="E17" s="17" t="inlineStr"/>
    </row>
    <row r="18">
      <c r="B18" s="15" t="inlineStr">
        <is>
          <t>DF_FC_rec</t>
        </is>
      </c>
      <c r="C18" s="10" t="inlineStr">
        <is>
          <t>FC accumulation factor = 1 + R_FC × T_DAYS/BASIS</t>
        </is>
      </c>
      <c r="D18" s="25">
        <f>1+R_FC_rec*T_DAYS_rec/BASIS_rec</f>
        <v/>
      </c>
      <c r="E18" s="17" t="inlineStr"/>
    </row>
    <row r="19">
      <c r="B19" s="15" t="inlineStr">
        <is>
          <t>FV_PREM_PUT_rec</t>
        </is>
      </c>
      <c r="C19" s="10" t="inlineStr">
        <is>
          <t>FV of put premium (negative cash flow at t₀, grown to maturity)</t>
        </is>
      </c>
      <c r="D19" s="26">
        <f>-PREM_PUT_rec*FC_AMT_rec*DF_USD_rec</f>
        <v/>
      </c>
      <c r="E19" s="17" t="inlineStr"/>
    </row>
    <row r="21" ht="20" customHeight="1">
      <c r="A21" s="4" t="inlineStr">
        <is>
          <t>Strategy Summary (Baseline at S_T = S₀)</t>
        </is>
      </c>
    </row>
    <row r="22" ht="20" customHeight="1">
      <c r="B22" s="7" t="inlineStr">
        <is>
          <t>Strategy</t>
        </is>
      </c>
      <c r="C22" s="7" t="inlineStr">
        <is>
          <t>USD Proceeds @ Baseline</t>
        </is>
      </c>
      <c r="D22" s="7" t="inlineStr">
        <is>
          <t>Locked-in across grid?</t>
        </is>
      </c>
      <c r="E22" s="7" t="inlineStr">
        <is>
          <t>Hedge Profit vs. No Hedge</t>
        </is>
      </c>
    </row>
    <row r="23">
      <c r="B23" s="10" t="inlineStr">
        <is>
          <t>No Hedge</t>
        </is>
      </c>
      <c r="C23" s="26">
        <f>S0_in_rec*FC_AMT_rec</f>
        <v/>
      </c>
      <c r="D23" s="17" t="inlineStr">
        <is>
          <t>No</t>
        </is>
      </c>
      <c r="E23" s="17" t="inlineStr">
        <is>
          <t>—</t>
        </is>
      </c>
    </row>
    <row r="24">
      <c r="B24" s="10" t="inlineStr">
        <is>
          <t>Forward</t>
        </is>
      </c>
      <c r="C24" s="26">
        <f>FC_AMT_rec*F0_in_rec</f>
        <v/>
      </c>
      <c r="D24" s="17" t="inlineStr">
        <is>
          <t>Yes</t>
        </is>
      </c>
      <c r="E24" s="26">
        <f>C24-C23</f>
        <v/>
      </c>
    </row>
    <row r="25">
      <c r="B25" s="10" t="inlineStr">
        <is>
          <t>Money Market</t>
        </is>
      </c>
      <c r="C25" s="26">
        <f>(FC_AMT_rec/DF_FC_rec)*S0_in_rec*DF_USD_rec</f>
        <v/>
      </c>
      <c r="D25" s="17" t="inlineStr">
        <is>
          <t>Yes</t>
        </is>
      </c>
      <c r="E25" s="26">
        <f>C25-C23</f>
        <v/>
      </c>
    </row>
    <row r="26">
      <c r="B26" s="10" t="inlineStr">
        <is>
          <t>Option (Put)</t>
        </is>
      </c>
      <c r="C26" s="26">
        <f>MAX(S0_in_rec,K_PUT_rec)*FC_AMT_rec+FV_PREM_PUT_rec</f>
        <v/>
      </c>
      <c r="D26" s="17" t="inlineStr">
        <is>
          <t>No</t>
        </is>
      </c>
      <c r="E26" s="26">
        <f>C26-C23</f>
        <v/>
      </c>
    </row>
    <row r="27">
      <c r="B27" s="9" t="inlineStr">
        <is>
          <t>—  Put floor across grid</t>
        </is>
      </c>
      <c r="C27" s="27">
        <f>MIN(G33:G43)</f>
        <v/>
      </c>
      <c r="D27" s="17" t="inlineStr">
        <is>
          <t>—</t>
        </is>
      </c>
      <c r="E27" s="17" t="inlineStr">
        <is>
          <t>—</t>
        </is>
      </c>
    </row>
    <row r="28">
      <c r="B28" s="15" t="inlineStr">
        <is>
          <t>Parity check</t>
        </is>
      </c>
      <c r="C28" s="26">
        <f>USD_MM_rec-USD_FWD_rec</f>
        <v/>
      </c>
      <c r="D28" s="28" t="inlineStr">
        <is>
          <t>Should be near zero under covered interest-rate parity.</t>
        </is>
      </c>
      <c r="E28" s="29" t="n"/>
      <c r="F28" s="29" t="n"/>
      <c r="G28" s="30" t="n"/>
    </row>
    <row r="30" ht="20" customHeight="1">
      <c r="A30" s="4" t="inlineStr">
        <is>
          <t>Sensitivity: USD Proceeds by Strategy vs. S_T</t>
        </is>
      </c>
    </row>
    <row r="32" ht="28" customHeight="1">
      <c r="B32" s="7" t="inlineStr">
        <is>
          <t>n</t>
        </is>
      </c>
      <c r="C32" s="7" t="inlineStr">
        <is>
          <t>S_T</t>
        </is>
      </c>
      <c r="D32" s="7" t="inlineStr">
        <is>
          <t>No Hedge</t>
        </is>
      </c>
      <c r="E32" s="7" t="inlineStr">
        <is>
          <t>Forward</t>
        </is>
      </c>
      <c r="F32" s="7" t="inlineStr">
        <is>
          <t>Money Market</t>
        </is>
      </c>
      <c r="G32" s="7" t="inlineStr">
        <is>
          <t>Option (Put)</t>
        </is>
      </c>
      <c r="H32" s="7" t="inlineStr">
        <is>
          <t>Profit: Fwd</t>
        </is>
      </c>
      <c r="I32" s="7" t="inlineStr">
        <is>
          <t>Profit: MM</t>
        </is>
      </c>
      <c r="J32" s="7" t="inlineStr">
        <is>
          <t>Profit: Opt</t>
        </is>
      </c>
      <c r="K32" s="7" t="inlineStr">
        <is>
          <t>Overall Winner</t>
        </is>
      </c>
      <c r="L32" s="7" t="inlineStr">
        <is>
          <t>Best Active Hedge</t>
        </is>
      </c>
    </row>
    <row r="33">
      <c r="B33" s="31" t="n">
        <v>-5</v>
      </c>
      <c r="C33" s="25">
        <f>$B33*STEP_FRAC_rec*S0_in_rec+S0_in_rec</f>
        <v/>
      </c>
      <c r="D33" s="26">
        <f>$C33*FC_AMT_rec</f>
        <v/>
      </c>
      <c r="E33" s="26">
        <f>USD_FWD_rec</f>
        <v/>
      </c>
      <c r="F33" s="26">
        <f>USD_MM_rec</f>
        <v/>
      </c>
      <c r="G33" s="26">
        <f>MAX($C33,K_PUT_rec)*FC_AMT_rec+FV_PREM_PUT_rec</f>
        <v/>
      </c>
      <c r="H33" s="26">
        <f>$E33-$D33</f>
        <v/>
      </c>
      <c r="I33" s="26">
        <f>$F33-$D33</f>
        <v/>
      </c>
      <c r="J33" s="26">
        <f>$G33-$D33</f>
        <v/>
      </c>
      <c r="K33" s="32">
        <f>INDEX({"No Hedge","Forward","Money Market","Option"},MATCH(MAX($D33:$G33),$D33:$G33,0))</f>
        <v/>
      </c>
      <c r="L33" s="33">
        <f>INDEX({"Forward","Money Market","Option"},MATCH(MAX($E33:$G33),$E33:$G33,0))</f>
        <v/>
      </c>
    </row>
    <row r="34">
      <c r="B34" s="31" t="n">
        <v>-4</v>
      </c>
      <c r="C34" s="25">
        <f>$B34*STEP_FRAC_rec*S0_in_rec+S0_in_rec</f>
        <v/>
      </c>
      <c r="D34" s="26">
        <f>$C34*FC_AMT_rec</f>
        <v/>
      </c>
      <c r="E34" s="26">
        <f>USD_FWD_rec</f>
        <v/>
      </c>
      <c r="F34" s="26">
        <f>USD_MM_rec</f>
        <v/>
      </c>
      <c r="G34" s="26">
        <f>MAX($C34,K_PUT_rec)*FC_AMT_rec+FV_PREM_PUT_rec</f>
        <v/>
      </c>
      <c r="H34" s="26">
        <f>$E34-$D34</f>
        <v/>
      </c>
      <c r="I34" s="26">
        <f>$F34-$D34</f>
        <v/>
      </c>
      <c r="J34" s="26">
        <f>$G34-$D34</f>
        <v/>
      </c>
      <c r="K34" s="32">
        <f>INDEX({"No Hedge","Forward","Money Market","Option"},MATCH(MAX($D34:$G34),$D34:$G34,0))</f>
        <v/>
      </c>
      <c r="L34" s="33">
        <f>INDEX({"Forward","Money Market","Option"},MATCH(MAX($E34:$G34),$E34:$G34,0))</f>
        <v/>
      </c>
    </row>
    <row r="35">
      <c r="B35" s="31" t="n">
        <v>-3</v>
      </c>
      <c r="C35" s="25">
        <f>$B35*STEP_FRAC_rec*S0_in_rec+S0_in_rec</f>
        <v/>
      </c>
      <c r="D35" s="26">
        <f>$C35*FC_AMT_rec</f>
        <v/>
      </c>
      <c r="E35" s="26">
        <f>USD_FWD_rec</f>
        <v/>
      </c>
      <c r="F35" s="26">
        <f>USD_MM_rec</f>
        <v/>
      </c>
      <c r="G35" s="26">
        <f>MAX($C35,K_PUT_rec)*FC_AMT_rec+FV_PREM_PUT_rec</f>
        <v/>
      </c>
      <c r="H35" s="26">
        <f>$E35-$D35</f>
        <v/>
      </c>
      <c r="I35" s="26">
        <f>$F35-$D35</f>
        <v/>
      </c>
      <c r="J35" s="26">
        <f>$G35-$D35</f>
        <v/>
      </c>
      <c r="K35" s="32">
        <f>INDEX({"No Hedge","Forward","Money Market","Option"},MATCH(MAX($D35:$G35),$D35:$G35,0))</f>
        <v/>
      </c>
      <c r="L35" s="33">
        <f>INDEX({"Forward","Money Market","Option"},MATCH(MAX($E35:$G35),$E35:$G35,0))</f>
        <v/>
      </c>
    </row>
    <row r="36">
      <c r="B36" s="31" t="n">
        <v>-2</v>
      </c>
      <c r="C36" s="25">
        <f>$B36*STEP_FRAC_rec*S0_in_rec+S0_in_rec</f>
        <v/>
      </c>
      <c r="D36" s="26">
        <f>$C36*FC_AMT_rec</f>
        <v/>
      </c>
      <c r="E36" s="26">
        <f>USD_FWD_rec</f>
        <v/>
      </c>
      <c r="F36" s="26">
        <f>USD_MM_rec</f>
        <v/>
      </c>
      <c r="G36" s="26">
        <f>MAX($C36,K_PUT_rec)*FC_AMT_rec+FV_PREM_PUT_rec</f>
        <v/>
      </c>
      <c r="H36" s="26">
        <f>$E36-$D36</f>
        <v/>
      </c>
      <c r="I36" s="26">
        <f>$F36-$D36</f>
        <v/>
      </c>
      <c r="J36" s="26">
        <f>$G36-$D36</f>
        <v/>
      </c>
      <c r="K36" s="32">
        <f>INDEX({"No Hedge","Forward","Money Market","Option"},MATCH(MAX($D36:$G36),$D36:$G36,0))</f>
        <v/>
      </c>
      <c r="L36" s="33">
        <f>INDEX({"Forward","Money Market","Option"},MATCH(MAX($E36:$G36),$E36:$G36,0))</f>
        <v/>
      </c>
    </row>
    <row r="37">
      <c r="B37" s="31" t="n">
        <v>-1</v>
      </c>
      <c r="C37" s="25">
        <f>$B37*STEP_FRAC_rec*S0_in_rec+S0_in_rec</f>
        <v/>
      </c>
      <c r="D37" s="26">
        <f>$C37*FC_AMT_rec</f>
        <v/>
      </c>
      <c r="E37" s="26">
        <f>USD_FWD_rec</f>
        <v/>
      </c>
      <c r="F37" s="26">
        <f>USD_MM_rec</f>
        <v/>
      </c>
      <c r="G37" s="26">
        <f>MAX($C37,K_PUT_rec)*FC_AMT_rec+FV_PREM_PUT_rec</f>
        <v/>
      </c>
      <c r="H37" s="26">
        <f>$E37-$D37</f>
        <v/>
      </c>
      <c r="I37" s="26">
        <f>$F37-$D37</f>
        <v/>
      </c>
      <c r="J37" s="26">
        <f>$G37-$D37</f>
        <v/>
      </c>
      <c r="K37" s="32">
        <f>INDEX({"No Hedge","Forward","Money Market","Option"},MATCH(MAX($D37:$G37),$D37:$G37,0))</f>
        <v/>
      </c>
      <c r="L37" s="33">
        <f>INDEX({"Forward","Money Market","Option"},MATCH(MAX($E37:$G37),$E37:$G37,0))</f>
        <v/>
      </c>
    </row>
    <row r="38">
      <c r="B38" s="34" t="n">
        <v>0</v>
      </c>
      <c r="C38" s="35">
        <f>$B38*STEP_FRAC_rec*S0_in_rec+S0_in_rec</f>
        <v/>
      </c>
      <c r="D38" s="36">
        <f>$C38*FC_AMT_rec</f>
        <v/>
      </c>
      <c r="E38" s="36">
        <f>USD_FWD_rec</f>
        <v/>
      </c>
      <c r="F38" s="36">
        <f>USD_MM_rec</f>
        <v/>
      </c>
      <c r="G38" s="36">
        <f>MAX($C38,K_PUT_rec)*FC_AMT_rec+FV_PREM_PUT_rec</f>
        <v/>
      </c>
      <c r="H38" s="36">
        <f>$E38-$D38</f>
        <v/>
      </c>
      <c r="I38" s="36">
        <f>$F38-$D38</f>
        <v/>
      </c>
      <c r="J38" s="36">
        <f>$G38-$D38</f>
        <v/>
      </c>
      <c r="K38" s="37">
        <f>INDEX({"No Hedge","Forward","Money Market","Option"},MATCH(MAX($D38:$G38),$D38:$G38,0))</f>
        <v/>
      </c>
      <c r="L38" s="38">
        <f>INDEX({"Forward","Money Market","Option"},MATCH(MAX($E38:$G38),$E38:$G38,0))</f>
        <v/>
      </c>
    </row>
    <row r="39">
      <c r="B39" s="31" t="n">
        <v>1</v>
      </c>
      <c r="C39" s="25">
        <f>$B39*STEP_FRAC_rec*S0_in_rec+S0_in_rec</f>
        <v/>
      </c>
      <c r="D39" s="26">
        <f>$C39*FC_AMT_rec</f>
        <v/>
      </c>
      <c r="E39" s="26">
        <f>USD_FWD_rec</f>
        <v/>
      </c>
      <c r="F39" s="26">
        <f>USD_MM_rec</f>
        <v/>
      </c>
      <c r="G39" s="26">
        <f>MAX($C39,K_PUT_rec)*FC_AMT_rec+FV_PREM_PUT_rec</f>
        <v/>
      </c>
      <c r="H39" s="26">
        <f>$E39-$D39</f>
        <v/>
      </c>
      <c r="I39" s="26">
        <f>$F39-$D39</f>
        <v/>
      </c>
      <c r="J39" s="26">
        <f>$G39-$D39</f>
        <v/>
      </c>
      <c r="K39" s="32">
        <f>INDEX({"No Hedge","Forward","Money Market","Option"},MATCH(MAX($D39:$G39),$D39:$G39,0))</f>
        <v/>
      </c>
      <c r="L39" s="33">
        <f>INDEX({"Forward","Money Market","Option"},MATCH(MAX($E39:$G39),$E39:$G39,0))</f>
        <v/>
      </c>
    </row>
    <row r="40">
      <c r="B40" s="31" t="n">
        <v>2</v>
      </c>
      <c r="C40" s="25">
        <f>$B40*STEP_FRAC_rec*S0_in_rec+S0_in_rec</f>
        <v/>
      </c>
      <c r="D40" s="26">
        <f>$C40*FC_AMT_rec</f>
        <v/>
      </c>
      <c r="E40" s="26">
        <f>USD_FWD_rec</f>
        <v/>
      </c>
      <c r="F40" s="26">
        <f>USD_MM_rec</f>
        <v/>
      </c>
      <c r="G40" s="26">
        <f>MAX($C40,K_PUT_rec)*FC_AMT_rec+FV_PREM_PUT_rec</f>
        <v/>
      </c>
      <c r="H40" s="26">
        <f>$E40-$D40</f>
        <v/>
      </c>
      <c r="I40" s="26">
        <f>$F40-$D40</f>
        <v/>
      </c>
      <c r="J40" s="26">
        <f>$G40-$D40</f>
        <v/>
      </c>
      <c r="K40" s="32">
        <f>INDEX({"No Hedge","Forward","Money Market","Option"},MATCH(MAX($D40:$G40),$D40:$G40,0))</f>
        <v/>
      </c>
      <c r="L40" s="33">
        <f>INDEX({"Forward","Money Market","Option"},MATCH(MAX($E40:$G40),$E40:$G40,0))</f>
        <v/>
      </c>
    </row>
    <row r="41">
      <c r="B41" s="31" t="n">
        <v>3</v>
      </c>
      <c r="C41" s="25">
        <f>$B41*STEP_FRAC_rec*S0_in_rec+S0_in_rec</f>
        <v/>
      </c>
      <c r="D41" s="26">
        <f>$C41*FC_AMT_rec</f>
        <v/>
      </c>
      <c r="E41" s="26">
        <f>USD_FWD_rec</f>
        <v/>
      </c>
      <c r="F41" s="26">
        <f>USD_MM_rec</f>
        <v/>
      </c>
      <c r="G41" s="26">
        <f>MAX($C41,K_PUT_rec)*FC_AMT_rec+FV_PREM_PUT_rec</f>
        <v/>
      </c>
      <c r="H41" s="26">
        <f>$E41-$D41</f>
        <v/>
      </c>
      <c r="I41" s="26">
        <f>$F41-$D41</f>
        <v/>
      </c>
      <c r="J41" s="26">
        <f>$G41-$D41</f>
        <v/>
      </c>
      <c r="K41" s="32">
        <f>INDEX({"No Hedge","Forward","Money Market","Option"},MATCH(MAX($D41:$G41),$D41:$G41,0))</f>
        <v/>
      </c>
      <c r="L41" s="33">
        <f>INDEX({"Forward","Money Market","Option"},MATCH(MAX($E41:$G41),$E41:$G41,0))</f>
        <v/>
      </c>
    </row>
    <row r="42">
      <c r="B42" s="31" t="n">
        <v>4</v>
      </c>
      <c r="C42" s="25">
        <f>$B42*STEP_FRAC_rec*S0_in_rec+S0_in_rec</f>
        <v/>
      </c>
      <c r="D42" s="26">
        <f>$C42*FC_AMT_rec</f>
        <v/>
      </c>
      <c r="E42" s="26">
        <f>USD_FWD_rec</f>
        <v/>
      </c>
      <c r="F42" s="26">
        <f>USD_MM_rec</f>
        <v/>
      </c>
      <c r="G42" s="26">
        <f>MAX($C42,K_PUT_rec)*FC_AMT_rec+FV_PREM_PUT_rec</f>
        <v/>
      </c>
      <c r="H42" s="26">
        <f>$E42-$D42</f>
        <v/>
      </c>
      <c r="I42" s="26">
        <f>$F42-$D42</f>
        <v/>
      </c>
      <c r="J42" s="26">
        <f>$G42-$D42</f>
        <v/>
      </c>
      <c r="K42" s="32">
        <f>INDEX({"No Hedge","Forward","Money Market","Option"},MATCH(MAX($D42:$G42),$D42:$G42,0))</f>
        <v/>
      </c>
      <c r="L42" s="33">
        <f>INDEX({"Forward","Money Market","Option"},MATCH(MAX($E42:$G42),$E42:$G42,0))</f>
        <v/>
      </c>
    </row>
    <row r="43">
      <c r="B43" s="31" t="n">
        <v>5</v>
      </c>
      <c r="C43" s="25">
        <f>$B43*STEP_FRAC_rec*S0_in_rec+S0_in_rec</f>
        <v/>
      </c>
      <c r="D43" s="26">
        <f>$C43*FC_AMT_rec</f>
        <v/>
      </c>
      <c r="E43" s="26">
        <f>USD_FWD_rec</f>
        <v/>
      </c>
      <c r="F43" s="26">
        <f>USD_MM_rec</f>
        <v/>
      </c>
      <c r="G43" s="26">
        <f>MAX($C43,K_PUT_rec)*FC_AMT_rec+FV_PREM_PUT_rec</f>
        <v/>
      </c>
      <c r="H43" s="26">
        <f>$E43-$D43</f>
        <v/>
      </c>
      <c r="I43" s="26">
        <f>$F43-$D43</f>
        <v/>
      </c>
      <c r="J43" s="26">
        <f>$G43-$D43</f>
        <v/>
      </c>
      <c r="K43" s="32">
        <f>INDEX({"No Hedge","Forward","Money Market","Option"},MATCH(MAX($D43:$G43),$D43:$G43,0))</f>
        <v/>
      </c>
      <c r="L43" s="33">
        <f>INDEX({"Forward","Money Market","Option"},MATCH(MAX($E43:$G43),$E43:$G43,0))</f>
        <v/>
      </c>
    </row>
  </sheetData>
  <mergeCells count="8">
    <mergeCell ref="A30:L30"/>
    <mergeCell ref="A2:L2"/>
    <mergeCell ref="A16:L16"/>
    <mergeCell ref="A1:L1"/>
    <mergeCell ref="A3:L3"/>
    <mergeCell ref="A21:L21"/>
    <mergeCell ref="D28:G28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5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" customWidth="1" min="13" max="13"/>
  </cols>
  <sheetData>
    <row r="1" ht="22" customHeight="1">
      <c r="A1" s="1" t="inlineStr">
        <is>
          <t>UNIVERSITY OF HAWAIʻI AT MĀNOA · SHIDLER COLLEGE OF BUSINESS · FIN 321</t>
        </is>
      </c>
    </row>
    <row r="2" ht="24" customHeight="1">
      <c r="A2" s="2" t="inlineStr">
        <is>
          <t>FX Hedging — Foreign-Currency Payable</t>
        </is>
      </c>
    </row>
    <row r="3" ht="18" customHeight="1">
      <c r="A3" s="3" t="inlineStr">
        <is>
          <t>Example: U.S. importer owing FC-denominated invoice in T_DAYS days.</t>
        </is>
      </c>
    </row>
    <row r="4" ht="20" customHeight="1">
      <c r="A4" s="4" t="inlineStr">
        <is>
          <t>Inputs (edit YELLOW cells)</t>
        </is>
      </c>
    </row>
    <row r="5">
      <c r="B5" s="15" t="inlineStr">
        <is>
          <t>FC_AMT_pay</t>
        </is>
      </c>
      <c r="C5" s="10" t="inlineStr">
        <is>
          <t>Foreign-currency notional</t>
        </is>
      </c>
      <c r="D5" s="19" t="n">
        <v>5000000</v>
      </c>
      <c r="E5" s="17" t="inlineStr">
        <is>
          <t>FC units</t>
        </is>
      </c>
    </row>
    <row r="6">
      <c r="B6" s="15" t="inlineStr">
        <is>
          <t>S0_in_pay</t>
        </is>
      </c>
      <c r="C6" s="10" t="inlineStr">
        <is>
          <t>Spot exchange rate (S₀)</t>
        </is>
      </c>
      <c r="D6" s="20" t="n">
        <v>1.25</v>
      </c>
      <c r="E6" s="17" t="inlineStr">
        <is>
          <t>USD/FC</t>
        </is>
      </c>
    </row>
    <row r="7">
      <c r="B7" s="15" t="inlineStr">
        <is>
          <t>F0_in_pay</t>
        </is>
      </c>
      <c r="C7" s="10" t="inlineStr">
        <is>
          <t>Forward rate to settlement (F₀)</t>
        </is>
      </c>
      <c r="D7" s="20" t="n">
        <v>1.262</v>
      </c>
      <c r="E7" s="17" t="inlineStr">
        <is>
          <t>USD/FC</t>
        </is>
      </c>
    </row>
    <row r="8">
      <c r="B8" s="15" t="inlineStr">
        <is>
          <t>R_USD_pay</t>
        </is>
      </c>
      <c r="C8" s="10" t="inlineStr">
        <is>
          <t>USD interest rate (annual)</t>
        </is>
      </c>
      <c r="D8" s="21" t="n">
        <v>0.055</v>
      </c>
      <c r="E8" s="17" t="inlineStr">
        <is>
          <t>%</t>
        </is>
      </c>
    </row>
    <row r="9">
      <c r="B9" s="15" t="inlineStr">
        <is>
          <t>R_FC_pay</t>
        </is>
      </c>
      <c r="C9" s="10" t="inlineStr">
        <is>
          <t>FC interest rate (annual)</t>
        </is>
      </c>
      <c r="D9" s="21" t="n">
        <v>0.045</v>
      </c>
      <c r="E9" s="17" t="inlineStr">
        <is>
          <t>%</t>
        </is>
      </c>
    </row>
    <row r="10">
      <c r="B10" s="15" t="inlineStr">
        <is>
          <t>T_DAYS_pay</t>
        </is>
      </c>
      <c r="C10" s="10" t="inlineStr">
        <is>
          <t>Days to settlement</t>
        </is>
      </c>
      <c r="D10" s="19" t="n">
        <v>365</v>
      </c>
      <c r="E10" s="17" t="inlineStr">
        <is>
          <t>Days</t>
        </is>
      </c>
    </row>
    <row r="11">
      <c r="B11" s="15" t="inlineStr">
        <is>
          <t>BASIS_pay</t>
        </is>
      </c>
      <c r="C11" s="10" t="inlineStr">
        <is>
          <t>Day-count denominator (assumption)</t>
        </is>
      </c>
      <c r="D11" s="22" t="n">
        <v>360</v>
      </c>
      <c r="E11" s="17" t="inlineStr">
        <is>
          <t>Days</t>
        </is>
      </c>
    </row>
    <row r="12">
      <c r="B12" s="15" t="inlineStr">
        <is>
          <t>K_CALL_pay</t>
        </is>
      </c>
      <c r="C12" s="10" t="inlineStr">
        <is>
          <t>Call option strike (assumption — default = S₀)</t>
        </is>
      </c>
      <c r="D12" s="23">
        <f>S0_in_pay</f>
        <v/>
      </c>
      <c r="E12" s="17" t="inlineStr">
        <is>
          <t>USD/FC</t>
        </is>
      </c>
    </row>
    <row r="13">
      <c r="B13" s="15" t="inlineStr">
        <is>
          <t>PREM_CALL_pay</t>
        </is>
      </c>
      <c r="C13" s="10" t="inlineStr">
        <is>
          <t>Option premium (USD per 1 FC)</t>
        </is>
      </c>
      <c r="D13" s="20" t="n">
        <v>0.021</v>
      </c>
      <c r="E13" s="17" t="inlineStr">
        <is>
          <t>USD</t>
        </is>
      </c>
    </row>
    <row r="14">
      <c r="B14" s="15" t="inlineStr">
        <is>
          <t>STEP_FRAC_pay</t>
        </is>
      </c>
      <c r="C14" s="10" t="inlineStr">
        <is>
          <t>Sensitivity step size (assumption)</t>
        </is>
      </c>
      <c r="D14" s="24" t="n">
        <v>0.01</v>
      </c>
      <c r="E14" s="17" t="inlineStr">
        <is>
          <t>%</t>
        </is>
      </c>
    </row>
    <row r="16" ht="20" customHeight="1">
      <c r="A16" s="4" t="inlineStr">
        <is>
          <t>Derived Values</t>
        </is>
      </c>
    </row>
    <row r="17">
      <c r="B17" s="15" t="inlineStr">
        <is>
          <t>DF_USD_pay</t>
        </is>
      </c>
      <c r="C17" s="10" t="inlineStr">
        <is>
          <t>USD accumulation factor = 1 + R_USD × T_DAYS/BASIS</t>
        </is>
      </c>
      <c r="D17" s="25">
        <f>1+R_USD_pay*T_DAYS_pay/BASIS_pay</f>
        <v/>
      </c>
      <c r="E17" s="17" t="inlineStr"/>
    </row>
    <row r="18">
      <c r="B18" s="15" t="inlineStr">
        <is>
          <t>DF_FC_pay</t>
        </is>
      </c>
      <c r="C18" s="10" t="inlineStr">
        <is>
          <t>FC accumulation factor = 1 + R_FC × T_DAYS/BASIS</t>
        </is>
      </c>
      <c r="D18" s="25">
        <f>1+R_FC_pay*T_DAYS_pay/BASIS_pay</f>
        <v/>
      </c>
      <c r="E18" s="17" t="inlineStr"/>
    </row>
    <row r="19">
      <c r="B19" s="15" t="inlineStr">
        <is>
          <t>FV_PREM_CALL_pay</t>
        </is>
      </c>
      <c r="C19" s="10" t="inlineStr">
        <is>
          <t>FV of call premium (negative cash flow at t₀, grown to maturity)</t>
        </is>
      </c>
      <c r="D19" s="26">
        <f>-PREM_CALL_pay*FC_AMT_pay*DF_USD_pay</f>
        <v/>
      </c>
      <c r="E19" s="17" t="inlineStr"/>
    </row>
    <row r="21" ht="20" customHeight="1">
      <c r="A21" s="4" t="inlineStr">
        <is>
          <t>Strategy Summary (Baseline at S_T = S₀)</t>
        </is>
      </c>
    </row>
    <row r="22" ht="20" customHeight="1">
      <c r="B22" s="7" t="inlineStr">
        <is>
          <t>Strategy</t>
        </is>
      </c>
      <c r="C22" s="7" t="inlineStr">
        <is>
          <t>USD Outlay @ Baseline</t>
        </is>
      </c>
      <c r="D22" s="7" t="inlineStr">
        <is>
          <t>Locked-in across grid?</t>
        </is>
      </c>
      <c r="E22" s="7" t="inlineStr">
        <is>
          <t>Hedge Profit vs. No Hedge</t>
        </is>
      </c>
    </row>
    <row r="23">
      <c r="B23" s="10" t="inlineStr">
        <is>
          <t>No Hedge</t>
        </is>
      </c>
      <c r="C23" s="26">
        <f>S0_in_pay*FC_AMT_pay</f>
        <v/>
      </c>
      <c r="D23" s="17" t="inlineStr">
        <is>
          <t>No</t>
        </is>
      </c>
      <c r="E23" s="17" t="inlineStr">
        <is>
          <t>—</t>
        </is>
      </c>
    </row>
    <row r="24">
      <c r="B24" s="10" t="inlineStr">
        <is>
          <t>Forward</t>
        </is>
      </c>
      <c r="C24" s="26">
        <f>FC_AMT_pay*F0_in_pay</f>
        <v/>
      </c>
      <c r="D24" s="17" t="inlineStr">
        <is>
          <t>Yes</t>
        </is>
      </c>
      <c r="E24" s="26">
        <f>C23-C24</f>
        <v/>
      </c>
    </row>
    <row r="25">
      <c r="B25" s="10" t="inlineStr">
        <is>
          <t>Money Market</t>
        </is>
      </c>
      <c r="C25" s="26">
        <f>(FC_AMT_pay/DF_FC_pay)*S0_in_pay*DF_USD_pay</f>
        <v/>
      </c>
      <c r="D25" s="17" t="inlineStr">
        <is>
          <t>Yes</t>
        </is>
      </c>
      <c r="E25" s="26">
        <f>C23-C25</f>
        <v/>
      </c>
    </row>
    <row r="26">
      <c r="B26" s="10" t="inlineStr">
        <is>
          <t>Option (Call)</t>
        </is>
      </c>
      <c r="C26" s="26">
        <f>MIN(S0_in_pay,K_CALL_pay)*FC_AMT_pay-FV_PREM_CALL_pay</f>
        <v/>
      </c>
      <c r="D26" s="17" t="inlineStr">
        <is>
          <t>No</t>
        </is>
      </c>
      <c r="E26" s="26">
        <f>C23-C26</f>
        <v/>
      </c>
    </row>
    <row r="27">
      <c r="B27" s="9" t="inlineStr">
        <is>
          <t>—  Call ceiling across grid</t>
        </is>
      </c>
      <c r="C27" s="27">
        <f>MAX(G33:G43)</f>
        <v/>
      </c>
      <c r="D27" s="17" t="inlineStr">
        <is>
          <t>—</t>
        </is>
      </c>
      <c r="E27" s="17" t="inlineStr">
        <is>
          <t>—</t>
        </is>
      </c>
    </row>
    <row r="28">
      <c r="B28" s="15" t="inlineStr">
        <is>
          <t>Parity check</t>
        </is>
      </c>
      <c r="C28" s="26">
        <f>USD_MM_pay-USD_FWD_pay</f>
        <v/>
      </c>
      <c r="D28" s="28" t="inlineStr">
        <is>
          <t>Should be near zero under covered interest-rate parity.</t>
        </is>
      </c>
      <c r="E28" s="29" t="n"/>
      <c r="F28" s="29" t="n"/>
      <c r="G28" s="30" t="n"/>
    </row>
    <row r="30" ht="20" customHeight="1">
      <c r="A30" s="4" t="inlineStr">
        <is>
          <t>Sensitivity: USD Outlay by Strategy vs. S_T</t>
        </is>
      </c>
    </row>
    <row r="32" ht="28" customHeight="1">
      <c r="B32" s="7" t="inlineStr">
        <is>
          <t>n</t>
        </is>
      </c>
      <c r="C32" s="7" t="inlineStr">
        <is>
          <t>S_T</t>
        </is>
      </c>
      <c r="D32" s="7" t="inlineStr">
        <is>
          <t>No Hedge</t>
        </is>
      </c>
      <c r="E32" s="7" t="inlineStr">
        <is>
          <t>Forward</t>
        </is>
      </c>
      <c r="F32" s="7" t="inlineStr">
        <is>
          <t>Money Market</t>
        </is>
      </c>
      <c r="G32" s="7" t="inlineStr">
        <is>
          <t>Option (Call)</t>
        </is>
      </c>
      <c r="H32" s="7" t="inlineStr">
        <is>
          <t>Profit: Fwd</t>
        </is>
      </c>
      <c r="I32" s="7" t="inlineStr">
        <is>
          <t>Profit: MM</t>
        </is>
      </c>
      <c r="J32" s="7" t="inlineStr">
        <is>
          <t>Profit: Opt</t>
        </is>
      </c>
      <c r="K32" s="7" t="inlineStr">
        <is>
          <t>Overall Winner</t>
        </is>
      </c>
      <c r="L32" s="7" t="inlineStr">
        <is>
          <t>Best Active Hedge</t>
        </is>
      </c>
    </row>
    <row r="33">
      <c r="B33" s="31" t="n">
        <v>-5</v>
      </c>
      <c r="C33" s="25">
        <f>$B33*STEP_FRAC_pay*S0_in_pay+S0_in_pay</f>
        <v/>
      </c>
      <c r="D33" s="26">
        <f>$C33*FC_AMT_pay</f>
        <v/>
      </c>
      <c r="E33" s="26">
        <f>USD_FWD_pay</f>
        <v/>
      </c>
      <c r="F33" s="26">
        <f>USD_MM_pay</f>
        <v/>
      </c>
      <c r="G33" s="26">
        <f>MIN($C33,K_CALL_pay)*FC_AMT_pay-FV_PREM_CALL_pay</f>
        <v/>
      </c>
      <c r="H33" s="26">
        <f>$D33-$E33</f>
        <v/>
      </c>
      <c r="I33" s="26">
        <f>$D33-$F33</f>
        <v/>
      </c>
      <c r="J33" s="26">
        <f>$D33-$G33</f>
        <v/>
      </c>
      <c r="K33" s="32">
        <f>INDEX({"No Hedge","Forward","Money Market","Option"},MATCH(MIN($D33:$G33),$D33:$G33,0))</f>
        <v/>
      </c>
      <c r="L33" s="33">
        <f>INDEX({"Forward","Money Market","Option"},MATCH(MIN($E33:$G33),$E33:$G33,0))</f>
        <v/>
      </c>
    </row>
    <row r="34">
      <c r="B34" s="31" t="n">
        <v>-4</v>
      </c>
      <c r="C34" s="25">
        <f>$B34*STEP_FRAC_pay*S0_in_pay+S0_in_pay</f>
        <v/>
      </c>
      <c r="D34" s="26">
        <f>$C34*FC_AMT_pay</f>
        <v/>
      </c>
      <c r="E34" s="26">
        <f>USD_FWD_pay</f>
        <v/>
      </c>
      <c r="F34" s="26">
        <f>USD_MM_pay</f>
        <v/>
      </c>
      <c r="G34" s="26">
        <f>MIN($C34,K_CALL_pay)*FC_AMT_pay-FV_PREM_CALL_pay</f>
        <v/>
      </c>
      <c r="H34" s="26">
        <f>$D34-$E34</f>
        <v/>
      </c>
      <c r="I34" s="26">
        <f>$D34-$F34</f>
        <v/>
      </c>
      <c r="J34" s="26">
        <f>$D34-$G34</f>
        <v/>
      </c>
      <c r="K34" s="32">
        <f>INDEX({"No Hedge","Forward","Money Market","Option"},MATCH(MIN($D34:$G34),$D34:$G34,0))</f>
        <v/>
      </c>
      <c r="L34" s="33">
        <f>INDEX({"Forward","Money Market","Option"},MATCH(MIN($E34:$G34),$E34:$G34,0))</f>
        <v/>
      </c>
    </row>
    <row r="35">
      <c r="B35" s="31" t="n">
        <v>-3</v>
      </c>
      <c r="C35" s="25">
        <f>$B35*STEP_FRAC_pay*S0_in_pay+S0_in_pay</f>
        <v/>
      </c>
      <c r="D35" s="26">
        <f>$C35*FC_AMT_pay</f>
        <v/>
      </c>
      <c r="E35" s="26">
        <f>USD_FWD_pay</f>
        <v/>
      </c>
      <c r="F35" s="26">
        <f>USD_MM_pay</f>
        <v/>
      </c>
      <c r="G35" s="26">
        <f>MIN($C35,K_CALL_pay)*FC_AMT_pay-FV_PREM_CALL_pay</f>
        <v/>
      </c>
      <c r="H35" s="26">
        <f>$D35-$E35</f>
        <v/>
      </c>
      <c r="I35" s="26">
        <f>$D35-$F35</f>
        <v/>
      </c>
      <c r="J35" s="26">
        <f>$D35-$G35</f>
        <v/>
      </c>
      <c r="K35" s="32">
        <f>INDEX({"No Hedge","Forward","Money Market","Option"},MATCH(MIN($D35:$G35),$D35:$G35,0))</f>
        <v/>
      </c>
      <c r="L35" s="33">
        <f>INDEX({"Forward","Money Market","Option"},MATCH(MIN($E35:$G35),$E35:$G35,0))</f>
        <v/>
      </c>
    </row>
    <row r="36">
      <c r="B36" s="31" t="n">
        <v>-2</v>
      </c>
      <c r="C36" s="25">
        <f>$B36*STEP_FRAC_pay*S0_in_pay+S0_in_pay</f>
        <v/>
      </c>
      <c r="D36" s="26">
        <f>$C36*FC_AMT_pay</f>
        <v/>
      </c>
      <c r="E36" s="26">
        <f>USD_FWD_pay</f>
        <v/>
      </c>
      <c r="F36" s="26">
        <f>USD_MM_pay</f>
        <v/>
      </c>
      <c r="G36" s="26">
        <f>MIN($C36,K_CALL_pay)*FC_AMT_pay-FV_PREM_CALL_pay</f>
        <v/>
      </c>
      <c r="H36" s="26">
        <f>$D36-$E36</f>
        <v/>
      </c>
      <c r="I36" s="26">
        <f>$D36-$F36</f>
        <v/>
      </c>
      <c r="J36" s="26">
        <f>$D36-$G36</f>
        <v/>
      </c>
      <c r="K36" s="32">
        <f>INDEX({"No Hedge","Forward","Money Market","Option"},MATCH(MIN($D36:$G36),$D36:$G36,0))</f>
        <v/>
      </c>
      <c r="L36" s="33">
        <f>INDEX({"Forward","Money Market","Option"},MATCH(MIN($E36:$G36),$E36:$G36,0))</f>
        <v/>
      </c>
    </row>
    <row r="37">
      <c r="B37" s="31" t="n">
        <v>-1</v>
      </c>
      <c r="C37" s="25">
        <f>$B37*STEP_FRAC_pay*S0_in_pay+S0_in_pay</f>
        <v/>
      </c>
      <c r="D37" s="26">
        <f>$C37*FC_AMT_pay</f>
        <v/>
      </c>
      <c r="E37" s="26">
        <f>USD_FWD_pay</f>
        <v/>
      </c>
      <c r="F37" s="26">
        <f>USD_MM_pay</f>
        <v/>
      </c>
      <c r="G37" s="26">
        <f>MIN($C37,K_CALL_pay)*FC_AMT_pay-FV_PREM_CALL_pay</f>
        <v/>
      </c>
      <c r="H37" s="26">
        <f>$D37-$E37</f>
        <v/>
      </c>
      <c r="I37" s="26">
        <f>$D37-$F37</f>
        <v/>
      </c>
      <c r="J37" s="26">
        <f>$D37-$G37</f>
        <v/>
      </c>
      <c r="K37" s="32">
        <f>INDEX({"No Hedge","Forward","Money Market","Option"},MATCH(MIN($D37:$G37),$D37:$G37,0))</f>
        <v/>
      </c>
      <c r="L37" s="33">
        <f>INDEX({"Forward","Money Market","Option"},MATCH(MIN($E37:$G37),$E37:$G37,0))</f>
        <v/>
      </c>
    </row>
    <row r="38">
      <c r="B38" s="34" t="n">
        <v>0</v>
      </c>
      <c r="C38" s="35">
        <f>$B38*STEP_FRAC_pay*S0_in_pay+S0_in_pay</f>
        <v/>
      </c>
      <c r="D38" s="36">
        <f>$C38*FC_AMT_pay</f>
        <v/>
      </c>
      <c r="E38" s="36">
        <f>USD_FWD_pay</f>
        <v/>
      </c>
      <c r="F38" s="36">
        <f>USD_MM_pay</f>
        <v/>
      </c>
      <c r="G38" s="36">
        <f>MIN($C38,K_CALL_pay)*FC_AMT_pay-FV_PREM_CALL_pay</f>
        <v/>
      </c>
      <c r="H38" s="36">
        <f>$D38-$E38</f>
        <v/>
      </c>
      <c r="I38" s="36">
        <f>$D38-$F38</f>
        <v/>
      </c>
      <c r="J38" s="36">
        <f>$D38-$G38</f>
        <v/>
      </c>
      <c r="K38" s="37">
        <f>INDEX({"No Hedge","Forward","Money Market","Option"},MATCH(MIN($D38:$G38),$D38:$G38,0))</f>
        <v/>
      </c>
      <c r="L38" s="38">
        <f>INDEX({"Forward","Money Market","Option"},MATCH(MIN($E38:$G38),$E38:$G38,0))</f>
        <v/>
      </c>
    </row>
    <row r="39">
      <c r="B39" s="31" t="n">
        <v>1</v>
      </c>
      <c r="C39" s="25">
        <f>$B39*STEP_FRAC_pay*S0_in_pay+S0_in_pay</f>
        <v/>
      </c>
      <c r="D39" s="26">
        <f>$C39*FC_AMT_pay</f>
        <v/>
      </c>
      <c r="E39" s="26">
        <f>USD_FWD_pay</f>
        <v/>
      </c>
      <c r="F39" s="26">
        <f>USD_MM_pay</f>
        <v/>
      </c>
      <c r="G39" s="26">
        <f>MIN($C39,K_CALL_pay)*FC_AMT_pay-FV_PREM_CALL_pay</f>
        <v/>
      </c>
      <c r="H39" s="26">
        <f>$D39-$E39</f>
        <v/>
      </c>
      <c r="I39" s="26">
        <f>$D39-$F39</f>
        <v/>
      </c>
      <c r="J39" s="26">
        <f>$D39-$G39</f>
        <v/>
      </c>
      <c r="K39" s="32">
        <f>INDEX({"No Hedge","Forward","Money Market","Option"},MATCH(MIN($D39:$G39),$D39:$G39,0))</f>
        <v/>
      </c>
      <c r="L39" s="33">
        <f>INDEX({"Forward","Money Market","Option"},MATCH(MIN($E39:$G39),$E39:$G39,0))</f>
        <v/>
      </c>
    </row>
    <row r="40">
      <c r="B40" s="31" t="n">
        <v>2</v>
      </c>
      <c r="C40" s="25">
        <f>$B40*STEP_FRAC_pay*S0_in_pay+S0_in_pay</f>
        <v/>
      </c>
      <c r="D40" s="26">
        <f>$C40*FC_AMT_pay</f>
        <v/>
      </c>
      <c r="E40" s="26">
        <f>USD_FWD_pay</f>
        <v/>
      </c>
      <c r="F40" s="26">
        <f>USD_MM_pay</f>
        <v/>
      </c>
      <c r="G40" s="26">
        <f>MIN($C40,K_CALL_pay)*FC_AMT_pay-FV_PREM_CALL_pay</f>
        <v/>
      </c>
      <c r="H40" s="26">
        <f>$D40-$E40</f>
        <v/>
      </c>
      <c r="I40" s="26">
        <f>$D40-$F40</f>
        <v/>
      </c>
      <c r="J40" s="26">
        <f>$D40-$G40</f>
        <v/>
      </c>
      <c r="K40" s="32">
        <f>INDEX({"No Hedge","Forward","Money Market","Option"},MATCH(MIN($D40:$G40),$D40:$G40,0))</f>
        <v/>
      </c>
      <c r="L40" s="33">
        <f>INDEX({"Forward","Money Market","Option"},MATCH(MIN($E40:$G40),$E40:$G40,0))</f>
        <v/>
      </c>
    </row>
    <row r="41">
      <c r="B41" s="31" t="n">
        <v>3</v>
      </c>
      <c r="C41" s="25">
        <f>$B41*STEP_FRAC_pay*S0_in_pay+S0_in_pay</f>
        <v/>
      </c>
      <c r="D41" s="26">
        <f>$C41*FC_AMT_pay</f>
        <v/>
      </c>
      <c r="E41" s="26">
        <f>USD_FWD_pay</f>
        <v/>
      </c>
      <c r="F41" s="26">
        <f>USD_MM_pay</f>
        <v/>
      </c>
      <c r="G41" s="26">
        <f>MIN($C41,K_CALL_pay)*FC_AMT_pay-FV_PREM_CALL_pay</f>
        <v/>
      </c>
      <c r="H41" s="26">
        <f>$D41-$E41</f>
        <v/>
      </c>
      <c r="I41" s="26">
        <f>$D41-$F41</f>
        <v/>
      </c>
      <c r="J41" s="26">
        <f>$D41-$G41</f>
        <v/>
      </c>
      <c r="K41" s="32">
        <f>INDEX({"No Hedge","Forward","Money Market","Option"},MATCH(MIN($D41:$G41),$D41:$G41,0))</f>
        <v/>
      </c>
      <c r="L41" s="33">
        <f>INDEX({"Forward","Money Market","Option"},MATCH(MIN($E41:$G41),$E41:$G41,0))</f>
        <v/>
      </c>
    </row>
    <row r="42">
      <c r="B42" s="31" t="n">
        <v>4</v>
      </c>
      <c r="C42" s="25">
        <f>$B42*STEP_FRAC_pay*S0_in_pay+S0_in_pay</f>
        <v/>
      </c>
      <c r="D42" s="26">
        <f>$C42*FC_AMT_pay</f>
        <v/>
      </c>
      <c r="E42" s="26">
        <f>USD_FWD_pay</f>
        <v/>
      </c>
      <c r="F42" s="26">
        <f>USD_MM_pay</f>
        <v/>
      </c>
      <c r="G42" s="26">
        <f>MIN($C42,K_CALL_pay)*FC_AMT_pay-FV_PREM_CALL_pay</f>
        <v/>
      </c>
      <c r="H42" s="26">
        <f>$D42-$E42</f>
        <v/>
      </c>
      <c r="I42" s="26">
        <f>$D42-$F42</f>
        <v/>
      </c>
      <c r="J42" s="26">
        <f>$D42-$G42</f>
        <v/>
      </c>
      <c r="K42" s="32">
        <f>INDEX({"No Hedge","Forward","Money Market","Option"},MATCH(MIN($D42:$G42),$D42:$G42,0))</f>
        <v/>
      </c>
      <c r="L42" s="33">
        <f>INDEX({"Forward","Money Market","Option"},MATCH(MIN($E42:$G42),$E42:$G42,0))</f>
        <v/>
      </c>
    </row>
    <row r="43">
      <c r="B43" s="31" t="n">
        <v>5</v>
      </c>
      <c r="C43" s="25">
        <f>$B43*STEP_FRAC_pay*S0_in_pay+S0_in_pay</f>
        <v/>
      </c>
      <c r="D43" s="26">
        <f>$C43*FC_AMT_pay</f>
        <v/>
      </c>
      <c r="E43" s="26">
        <f>USD_FWD_pay</f>
        <v/>
      </c>
      <c r="F43" s="26">
        <f>USD_MM_pay</f>
        <v/>
      </c>
      <c r="G43" s="26">
        <f>MIN($C43,K_CALL_pay)*FC_AMT_pay-FV_PREM_CALL_pay</f>
        <v/>
      </c>
      <c r="H43" s="26">
        <f>$D43-$E43</f>
        <v/>
      </c>
      <c r="I43" s="26">
        <f>$D43-$F43</f>
        <v/>
      </c>
      <c r="J43" s="26">
        <f>$D43-$G43</f>
        <v/>
      </c>
      <c r="K43" s="32">
        <f>INDEX({"No Hedge","Forward","Money Market","Option"},MATCH(MIN($D43:$G43),$D43:$G43,0))</f>
        <v/>
      </c>
      <c r="L43" s="33">
        <f>INDEX({"Forward","Money Market","Option"},MATCH(MIN($E43:$G43),$E43:$G43,0))</f>
        <v/>
      </c>
    </row>
  </sheetData>
  <mergeCells count="8">
    <mergeCell ref="A30:L30"/>
    <mergeCell ref="A2:L2"/>
    <mergeCell ref="A16:L16"/>
    <mergeCell ref="A1:L1"/>
    <mergeCell ref="A3:L3"/>
    <mergeCell ref="A21:L21"/>
    <mergeCell ref="D28:G28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4" customWidth="1" min="3" max="3"/>
    <col width="18" customWidth="1" min="4" max="4"/>
    <col width="36" customWidth="1" min="5" max="5"/>
    <col width="18" customWidth="1" min="6" max="6"/>
    <col width="18" customWidth="1" min="7" max="7"/>
    <col width="2" customWidth="1" min="8" max="8"/>
  </cols>
  <sheetData>
    <row r="1" ht="22" customHeight="1">
      <c r="A1" s="1" t="inlineStr">
        <is>
          <t>UNIVERSITY OF HAWAIʻI AT MĀNOA · SHIDLER COLLEGE OF BUSINESS · FIN 321</t>
        </is>
      </c>
    </row>
    <row r="2" ht="24" customHeight="1">
      <c r="A2" s="2" t="inlineStr">
        <is>
          <t>Data Sources &amp; Access Dates</t>
        </is>
      </c>
    </row>
    <row r="3" ht="18" customHeight="1">
      <c r="A3" s="3" t="inlineStr">
        <is>
          <t>Record sources for every market input. Required for Stage 3 reproducibility.</t>
        </is>
      </c>
    </row>
    <row r="4" ht="20" customHeight="1">
      <c r="A4" s="4" t="inlineStr">
        <is>
          <t>Market Data Inputs</t>
        </is>
      </c>
    </row>
    <row r="5" ht="20" customHeight="1">
      <c r="B5" s="7" t="inlineStr">
        <is>
          <t>Input</t>
        </is>
      </c>
      <c r="C5" s="7" t="inlineStr">
        <is>
          <t>Tab</t>
        </is>
      </c>
      <c r="D5" s="7" t="inlineStr">
        <is>
          <t>Cell</t>
        </is>
      </c>
      <c r="E5" s="7" t="inlineStr">
        <is>
          <t>Source (vendor / URL / dataset)</t>
        </is>
      </c>
      <c r="F5" s="7" t="inlineStr">
        <is>
          <t>Access Date</t>
        </is>
      </c>
      <c r="G5" s="7" t="inlineStr">
        <is>
          <t>Analyst</t>
        </is>
      </c>
    </row>
    <row r="6">
      <c r="B6" s="10" t="inlineStr">
        <is>
          <t>Spot rate (S₀)</t>
        </is>
      </c>
      <c r="C6" s="17" t="inlineStr">
        <is>
          <t>Receivable</t>
        </is>
      </c>
      <c r="D6" s="17" t="inlineStr">
        <is>
          <t>$D$6</t>
        </is>
      </c>
      <c r="E6" s="39" t="inlineStr"/>
      <c r="F6" s="40" t="inlineStr"/>
      <c r="G6" s="39" t="inlineStr"/>
    </row>
    <row r="7">
      <c r="B7" s="10" t="inlineStr">
        <is>
          <t>Forward rate (F₀)</t>
        </is>
      </c>
      <c r="C7" s="17" t="inlineStr">
        <is>
          <t>Receivable</t>
        </is>
      </c>
      <c r="D7" s="17" t="inlineStr">
        <is>
          <t>$D$7</t>
        </is>
      </c>
      <c r="E7" s="39" t="inlineStr"/>
      <c r="F7" s="40" t="inlineStr"/>
      <c r="G7" s="39" t="inlineStr"/>
    </row>
    <row r="8">
      <c r="B8" s="10" t="inlineStr">
        <is>
          <t>USD interest rate</t>
        </is>
      </c>
      <c r="C8" s="17" t="inlineStr">
        <is>
          <t>Receivable</t>
        </is>
      </c>
      <c r="D8" s="17" t="inlineStr">
        <is>
          <t>$D$8</t>
        </is>
      </c>
      <c r="E8" s="39" t="inlineStr"/>
      <c r="F8" s="40" t="inlineStr"/>
      <c r="G8" s="39" t="inlineStr"/>
    </row>
    <row r="9">
      <c r="B9" s="10" t="inlineStr">
        <is>
          <t>FC interest rate</t>
        </is>
      </c>
      <c r="C9" s="17" t="inlineStr">
        <is>
          <t>Receivable</t>
        </is>
      </c>
      <c r="D9" s="17" t="inlineStr">
        <is>
          <t>$D$9</t>
        </is>
      </c>
      <c r="E9" s="39" t="inlineStr"/>
      <c r="F9" s="40" t="inlineStr"/>
      <c r="G9" s="39" t="inlineStr"/>
    </row>
    <row r="10">
      <c r="B10" s="10" t="inlineStr">
        <is>
          <t>Put premium</t>
        </is>
      </c>
      <c r="C10" s="17" t="inlineStr">
        <is>
          <t>Receivable</t>
        </is>
      </c>
      <c r="D10" s="17" t="inlineStr">
        <is>
          <t>$D$13</t>
        </is>
      </c>
      <c r="E10" s="39" t="inlineStr"/>
      <c r="F10" s="40" t="inlineStr"/>
      <c r="G10" s="39" t="inlineStr"/>
    </row>
    <row r="11">
      <c r="B11" s="10" t="inlineStr">
        <is>
          <t>Spot rate (S₀)</t>
        </is>
      </c>
      <c r="C11" s="17" t="inlineStr">
        <is>
          <t>Payable</t>
        </is>
      </c>
      <c r="D11" s="17" t="inlineStr">
        <is>
          <t>$D$6</t>
        </is>
      </c>
      <c r="E11" s="39" t="inlineStr"/>
      <c r="F11" s="40" t="inlineStr"/>
      <c r="G11" s="39" t="inlineStr"/>
    </row>
    <row r="12">
      <c r="B12" s="10" t="inlineStr">
        <is>
          <t>Forward rate (F₀)</t>
        </is>
      </c>
      <c r="C12" s="17" t="inlineStr">
        <is>
          <t>Payable</t>
        </is>
      </c>
      <c r="D12" s="17" t="inlineStr">
        <is>
          <t>$D$7</t>
        </is>
      </c>
      <c r="E12" s="39" t="inlineStr"/>
      <c r="F12" s="40" t="inlineStr"/>
      <c r="G12" s="39" t="inlineStr"/>
    </row>
    <row r="13">
      <c r="B13" s="10" t="inlineStr">
        <is>
          <t>USD interest rate</t>
        </is>
      </c>
      <c r="C13" s="17" t="inlineStr">
        <is>
          <t>Payable</t>
        </is>
      </c>
      <c r="D13" s="17" t="inlineStr">
        <is>
          <t>$D$8</t>
        </is>
      </c>
      <c r="E13" s="39" t="inlineStr"/>
      <c r="F13" s="40" t="inlineStr"/>
      <c r="G13" s="39" t="inlineStr"/>
    </row>
    <row r="14">
      <c r="B14" s="10" t="inlineStr">
        <is>
          <t>FC interest rate</t>
        </is>
      </c>
      <c r="C14" s="17" t="inlineStr">
        <is>
          <t>Payable</t>
        </is>
      </c>
      <c r="D14" s="17" t="inlineStr">
        <is>
          <t>$D$9</t>
        </is>
      </c>
      <c r="E14" s="39" t="inlineStr"/>
      <c r="F14" s="40" t="inlineStr"/>
      <c r="G14" s="39" t="inlineStr"/>
    </row>
    <row r="15">
      <c r="B15" s="10" t="inlineStr">
        <is>
          <t>Call premium</t>
        </is>
      </c>
      <c r="C15" s="17" t="inlineStr">
        <is>
          <t>Payable</t>
        </is>
      </c>
      <c r="D15" s="17" t="inlineStr">
        <is>
          <t>$D$13</t>
        </is>
      </c>
      <c r="E15" s="39" t="inlineStr"/>
      <c r="F15" s="40" t="inlineStr"/>
      <c r="G15" s="39" t="inlineStr"/>
    </row>
    <row r="18" ht="20" customHeight="1">
      <c r="A18" s="4" t="inlineStr">
        <is>
          <t>Analytical Assumptions &amp; Judgment Calls</t>
        </is>
      </c>
    </row>
    <row r="19">
      <c r="B19" s="41" t="inlineStr">
        <is>
          <t>Record any deviations from the default assumptions in §3 of the spec. Examples:
  • BASIS override (360 vs. 365) and why.
  • Strike override away from S₀ (e.g., out-of-the-money put for cheaper premium).
  • Transaction-cost adjustments or bid-ask spread assumptions.
  • Rationale for scenario construction (step size, range).</t>
        </is>
      </c>
    </row>
    <row r="20"/>
    <row r="21"/>
    <row r="22"/>
    <row r="23"/>
    <row r="24"/>
  </sheetData>
  <mergeCells count="6">
    <mergeCell ref="B19:G24"/>
    <mergeCell ref="A2:L2"/>
    <mergeCell ref="A1:L1"/>
    <mergeCell ref="A18:L18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2026-04-24T21:10:32Z</dcterms:created>
  <dcterms:modified xmlns:dcterms="http://purl.org/dc/terms/" xmlns:xsi="http://www.w3.org/2001/XMLSchema-instance" xsi:type="dcterms:W3CDTF">2026-04-24T21:10:32Z</dcterms:modified>
</cp:coreProperties>
</file>