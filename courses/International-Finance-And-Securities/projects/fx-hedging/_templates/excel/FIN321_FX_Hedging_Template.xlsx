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shidler\courses\FIN-321-International-Finance-And-Securities\_templates\excel\"/>
    </mc:Choice>
  </mc:AlternateContent>
  <xr:revisionPtr revIDLastSave="0" documentId="13_ncr:1_{03730A6E-2E57-40EE-ABFA-6DA23E9AE5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ver" sheetId="1" r:id="rId1"/>
    <sheet name="Receivable" sheetId="2" r:id="rId2"/>
    <sheet name="Payable" sheetId="3" r:id="rId3"/>
    <sheet name="Notes" sheetId="4" r:id="rId4"/>
  </sheets>
  <definedNames>
    <definedName name="BASIS_pay">Payable!$D$11</definedName>
    <definedName name="BASIS_rec">Receivable!$D$11</definedName>
    <definedName name="DF_FC_pay">Payable!$D$18</definedName>
    <definedName name="DF_FC_rec">Receivable!$D$18</definedName>
    <definedName name="DF_USD_pay">Payable!$D$17</definedName>
    <definedName name="DF_USD_rec">Receivable!$D$17</definedName>
    <definedName name="F0_in_pay">Payable!$D$7</definedName>
    <definedName name="F0_in_rec">Receivable!$D$7</definedName>
    <definedName name="FC_AMT_pay">Payable!$D$5</definedName>
    <definedName name="FC_AMT_rec">Receivable!$D$5</definedName>
    <definedName name="FV_PREM_CALL_pay">Payable!$D$19</definedName>
    <definedName name="FV_PREM_PUT_rec">Receivable!$D$19</definedName>
    <definedName name="K_CALL_pay">Payable!$D$12</definedName>
    <definedName name="K_PUT_rec">Receivable!$D$12</definedName>
    <definedName name="PREM_CALL_pay">Payable!$D$13</definedName>
    <definedName name="PREM_PUT_rec">Receivable!$D$13</definedName>
    <definedName name="R_FC_pay">Payable!$D$9</definedName>
    <definedName name="R_FC_rec">Receivable!$D$9</definedName>
    <definedName name="R_USD_pay">Payable!$D$8</definedName>
    <definedName name="R_USD_rec">Receivable!$D$8</definedName>
    <definedName name="S0_in_pay">Payable!$D$6</definedName>
    <definedName name="S0_in_rec">Receivable!$D$6</definedName>
    <definedName name="STEP_FRAC_pay">Payable!$D$14</definedName>
    <definedName name="STEP_FRAC_rec">Receivable!$D$14</definedName>
    <definedName name="T_DAYS_pay">Payable!$D$10</definedName>
    <definedName name="T_DAYS_rec">Receivable!$D$10</definedName>
    <definedName name="USD_BASE_CALL_pay">Payable!$C$26</definedName>
    <definedName name="USD_BASE_PUT_rec">Receivable!$C$26</definedName>
    <definedName name="USD_CEILING_CALL_pay">Payable!$C$27</definedName>
    <definedName name="USD_FLOOR_PUT_rec">Receivable!$C$27</definedName>
    <definedName name="USD_FWD_pay">Payable!$C$24</definedName>
    <definedName name="USD_FWD_rec">Receivable!$C$24</definedName>
    <definedName name="USD_MM_pay">Payable!$C$25</definedName>
    <definedName name="USD_MM_rec">Receivable!$C$25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2" l="1"/>
  <c r="C43" i="3"/>
  <c r="D43" i="3" s="1"/>
  <c r="C42" i="3"/>
  <c r="D42" i="3" s="1"/>
  <c r="C41" i="3"/>
  <c r="D41" i="3" s="1"/>
  <c r="C40" i="3"/>
  <c r="D40" i="3" s="1"/>
  <c r="C39" i="3"/>
  <c r="D39" i="3" s="1"/>
  <c r="C38" i="3"/>
  <c r="D38" i="3" s="1"/>
  <c r="C37" i="3"/>
  <c r="D37" i="3" s="1"/>
  <c r="C36" i="3"/>
  <c r="D36" i="3" s="1"/>
  <c r="C35" i="3"/>
  <c r="D35" i="3" s="1"/>
  <c r="C34" i="3"/>
  <c r="D34" i="3" s="1"/>
  <c r="C33" i="3"/>
  <c r="D33" i="3" s="1"/>
  <c r="C24" i="3"/>
  <c r="E43" i="3" s="1"/>
  <c r="C23" i="3"/>
  <c r="D18" i="3"/>
  <c r="C25" i="3" s="1"/>
  <c r="D17" i="3"/>
  <c r="D19" i="3" s="1"/>
  <c r="D12" i="3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C24" i="2"/>
  <c r="E43" i="2" s="1"/>
  <c r="C23" i="2"/>
  <c r="D18" i="2"/>
  <c r="D19" i="2"/>
  <c r="D12" i="2"/>
  <c r="C25" i="2" l="1"/>
  <c r="H43" i="3"/>
  <c r="I36" i="3"/>
  <c r="H36" i="3"/>
  <c r="J37" i="3"/>
  <c r="I37" i="3"/>
  <c r="H37" i="3"/>
  <c r="K37" i="3"/>
  <c r="K38" i="3"/>
  <c r="G43" i="3"/>
  <c r="J43" i="3" s="1"/>
  <c r="G41" i="3"/>
  <c r="G39" i="3"/>
  <c r="J39" i="3" s="1"/>
  <c r="G37" i="3"/>
  <c r="G35" i="3"/>
  <c r="J35" i="3" s="1"/>
  <c r="G33" i="3"/>
  <c r="C26" i="3"/>
  <c r="E26" i="3" s="1"/>
  <c r="G42" i="3"/>
  <c r="J42" i="3" s="1"/>
  <c r="G40" i="3"/>
  <c r="J40" i="3" s="1"/>
  <c r="G38" i="3"/>
  <c r="J38" i="3" s="1"/>
  <c r="G36" i="3"/>
  <c r="J36" i="3" s="1"/>
  <c r="G34" i="3"/>
  <c r="J34" i="3" s="1"/>
  <c r="F43" i="2"/>
  <c r="I43" i="2" s="1"/>
  <c r="F37" i="2"/>
  <c r="I37" i="2" s="1"/>
  <c r="F35" i="2"/>
  <c r="I35" i="2" s="1"/>
  <c r="F33" i="2"/>
  <c r="I33" i="2" s="1"/>
  <c r="F41" i="2"/>
  <c r="I41" i="2" s="1"/>
  <c r="F39" i="2"/>
  <c r="I39" i="2" s="1"/>
  <c r="C28" i="2"/>
  <c r="E25" i="2"/>
  <c r="F40" i="2"/>
  <c r="I40" i="2" s="1"/>
  <c r="F38" i="2"/>
  <c r="I38" i="2" s="1"/>
  <c r="F36" i="2"/>
  <c r="I36" i="2" s="1"/>
  <c r="F34" i="2"/>
  <c r="I34" i="2" s="1"/>
  <c r="F42" i="2"/>
  <c r="I42" i="2" s="1"/>
  <c r="H43" i="2"/>
  <c r="F43" i="3"/>
  <c r="K43" i="3" s="1"/>
  <c r="F41" i="3"/>
  <c r="F39" i="3"/>
  <c r="I39" i="3" s="1"/>
  <c r="F37" i="3"/>
  <c r="F35" i="3"/>
  <c r="F33" i="3"/>
  <c r="C28" i="3"/>
  <c r="F42" i="3"/>
  <c r="I42" i="3" s="1"/>
  <c r="F40" i="3"/>
  <c r="I40" i="3" s="1"/>
  <c r="F38" i="3"/>
  <c r="I38" i="3" s="1"/>
  <c r="F36" i="3"/>
  <c r="F34" i="3"/>
  <c r="I34" i="3" s="1"/>
  <c r="I33" i="3"/>
  <c r="H33" i="3"/>
  <c r="K33" i="3"/>
  <c r="K40" i="2"/>
  <c r="J41" i="3"/>
  <c r="I41" i="3"/>
  <c r="I35" i="3"/>
  <c r="G43" i="2"/>
  <c r="J43" i="2" s="1"/>
  <c r="G41" i="2"/>
  <c r="J41" i="2" s="1"/>
  <c r="G39" i="2"/>
  <c r="J39" i="2" s="1"/>
  <c r="G37" i="2"/>
  <c r="J37" i="2" s="1"/>
  <c r="G35" i="2"/>
  <c r="J35" i="2" s="1"/>
  <c r="G33" i="2"/>
  <c r="G42" i="2"/>
  <c r="J42" i="2" s="1"/>
  <c r="G40" i="2"/>
  <c r="J40" i="2" s="1"/>
  <c r="G38" i="2"/>
  <c r="J38" i="2" s="1"/>
  <c r="G36" i="2"/>
  <c r="J36" i="2" s="1"/>
  <c r="G34" i="2"/>
  <c r="J34" i="2" s="1"/>
  <c r="C26" i="2"/>
  <c r="E26" i="2" s="1"/>
  <c r="E24" i="2"/>
  <c r="E36" i="2"/>
  <c r="E38" i="2"/>
  <c r="E42" i="2"/>
  <c r="E34" i="3"/>
  <c r="K34" i="3" s="1"/>
  <c r="E36" i="3"/>
  <c r="E38" i="3"/>
  <c r="E40" i="3"/>
  <c r="L40" i="3" s="1"/>
  <c r="E42" i="3"/>
  <c r="H42" i="3" s="1"/>
  <c r="E34" i="2"/>
  <c r="E40" i="2"/>
  <c r="E24" i="3"/>
  <c r="E25" i="3"/>
  <c r="E33" i="2"/>
  <c r="E35" i="2"/>
  <c r="E37" i="2"/>
  <c r="E39" i="2"/>
  <c r="E41" i="2"/>
  <c r="E33" i="3"/>
  <c r="E35" i="3"/>
  <c r="H35" i="3" s="1"/>
  <c r="E37" i="3"/>
  <c r="E39" i="3"/>
  <c r="H39" i="3" s="1"/>
  <c r="E41" i="3"/>
  <c r="K37" i="2" l="1"/>
  <c r="L43" i="2"/>
  <c r="L40" i="2"/>
  <c r="H40" i="2"/>
  <c r="L38" i="2"/>
  <c r="H38" i="2"/>
  <c r="K35" i="3"/>
  <c r="K39" i="3"/>
  <c r="L38" i="3"/>
  <c r="L36" i="3"/>
  <c r="K35" i="2"/>
  <c r="K39" i="2"/>
  <c r="L36" i="2"/>
  <c r="H36" i="2"/>
  <c r="L34" i="2"/>
  <c r="H34" i="2"/>
  <c r="L42" i="3"/>
  <c r="C27" i="3"/>
  <c r="L37" i="3"/>
  <c r="L35" i="3"/>
  <c r="K36" i="2"/>
  <c r="L33" i="3"/>
  <c r="K43" i="2"/>
  <c r="J33" i="3"/>
  <c r="L42" i="2"/>
  <c r="H42" i="2"/>
  <c r="L41" i="3"/>
  <c r="L41" i="2"/>
  <c r="H41" i="2"/>
  <c r="L43" i="3"/>
  <c r="H40" i="3"/>
  <c r="K42" i="2"/>
  <c r="J33" i="2"/>
  <c r="C27" i="2"/>
  <c r="L34" i="3"/>
  <c r="H34" i="3"/>
  <c r="K41" i="3"/>
  <c r="K34" i="2"/>
  <c r="K36" i="3"/>
  <c r="K38" i="2"/>
  <c r="L39" i="3"/>
  <c r="K41" i="2"/>
  <c r="L39" i="2"/>
  <c r="H39" i="2"/>
  <c r="K42" i="3"/>
  <c r="H37" i="2"/>
  <c r="L37" i="2"/>
  <c r="H41" i="3"/>
  <c r="H38" i="3"/>
  <c r="I43" i="3"/>
  <c r="L35" i="2"/>
  <c r="H35" i="2"/>
  <c r="K40" i="3"/>
  <c r="K33" i="2"/>
  <c r="H33" i="2"/>
  <c r="L33" i="2"/>
</calcChain>
</file>

<file path=xl/sharedStrings.xml><?xml version="1.0" encoding="utf-8"?>
<sst xmlns="http://schemas.openxmlformats.org/spreadsheetml/2006/main" count="440" uniqueCount="211">
  <si>
    <t>UNIVERSITY OF HAWAIʻI AT MĀNOA · SHIDLER COLLEGE OF BUSINESS</t>
  </si>
  <si>
    <t>FIN 321 — International Finance &amp; Securities</t>
  </si>
  <si>
    <t>FX Transaction Hedging Template · Built to spec v0.1 · UH Mānoa brand v1.0.0</t>
  </si>
  <si>
    <t>Purpose</t>
  </si>
  <si>
    <t>This workbook implements the four-strategy FX transaction-hedging framework specified in _templates/example-spec-template.md. Given a foreign-currency exposure (receivable or payable), it compares No Hedge, Forward, Money-Market, and Option strategies across a ±5% spot-rate sensitivity grid, using a consistent set of named ranges and standardized calculation flow.</t>
  </si>
  <si>
    <t>How to Use</t>
  </si>
  <si>
    <t>1.</t>
  </si>
  <si>
    <t>Open the Receivable or Payable tab (whichever matches your exposure).</t>
  </si>
  <si>
    <t>2.</t>
  </si>
  <si>
    <t>Enter scenario inputs in the YELLOW cells: notional, spot, forward, interest rates, tenor, strike, and premium.</t>
  </si>
  <si>
    <t>3.</t>
  </si>
  <si>
    <t>Review the DERIVED block (DF_USD, DF_FC, option premium FV) — these update automatically.</t>
  </si>
  <si>
    <t>4.</t>
  </si>
  <si>
    <t>Read the STRATEGY SUMMARY panel for base-case USD outcome per strategy.</t>
  </si>
  <si>
    <t>5.</t>
  </si>
  <si>
    <t>Inspect the SENSITIVITY grid and chart to see how each strategy performs across S_T ± 5%.</t>
  </si>
  <si>
    <t>6.</t>
  </si>
  <si>
    <t>Record data sources and access dates on the NOTES tab (required for reproducibility).</t>
  </si>
  <si>
    <t>7.</t>
  </si>
  <si>
    <t>Confirm the parity check: USD_MM should match USD_FWD within rounding.</t>
  </si>
  <si>
    <t>Legend — Cell Color Coding</t>
  </si>
  <si>
    <t>Swatch</t>
  </si>
  <si>
    <t>Role</t>
  </si>
  <si>
    <t>Description</t>
  </si>
  <si>
    <t>■ sample</t>
  </si>
  <si>
    <t>Input</t>
  </si>
  <si>
    <t>Editable scenario values: notional, spot, forward, rates, strikes, premia.</t>
  </si>
  <si>
    <t>Assumption / Hardcode</t>
  </si>
  <si>
    <t>Blue text on white — analyst judgment knobs (e.g., strike override, step size).</t>
  </si>
  <si>
    <t>Formula</t>
  </si>
  <si>
    <t>Black text on white — all calculations and derived values. Do not edit.</t>
  </si>
  <si>
    <t>Cross-sheet link</t>
  </si>
  <si>
    <t>UH Green text — pulls from another tab in this workbook.</t>
  </si>
  <si>
    <t>External link</t>
  </si>
  <si>
    <t>Dark red text — external data pull (Bloomberg, FRED, etc.).</t>
  </si>
  <si>
    <t>Header / Banner</t>
  </si>
  <si>
    <t>UH Green fill with white text — section headers and table headers.</t>
  </si>
  <si>
    <t>Named Range Index</t>
  </si>
  <si>
    <t>Standardized Name (spec)</t>
  </si>
  <si>
    <t>Workbook Name</t>
  </si>
  <si>
    <t>Unit</t>
  </si>
  <si>
    <t>Sheet</t>
  </si>
  <si>
    <t>Cell</t>
  </si>
  <si>
    <t>FC_AMT</t>
  </si>
  <si>
    <t>FC_AMT_rec</t>
  </si>
  <si>
    <t>Foreign-currency receivable</t>
  </si>
  <si>
    <t>FC units</t>
  </si>
  <si>
    <t>Receivable</t>
  </si>
  <si>
    <t>$D$5</t>
  </si>
  <si>
    <t>S0_in</t>
  </si>
  <si>
    <t>S0_in_rec</t>
  </si>
  <si>
    <t>Spot exchange rate</t>
  </si>
  <si>
    <t>USD/FC</t>
  </si>
  <si>
    <t>$D$6</t>
  </si>
  <si>
    <t>F0_in</t>
  </si>
  <si>
    <t>F0_in_rec</t>
  </si>
  <si>
    <t>Forward rate</t>
  </si>
  <si>
    <t>$D$7</t>
  </si>
  <si>
    <t>R_USD</t>
  </si>
  <si>
    <t>R_USD_rec</t>
  </si>
  <si>
    <t>USD interest rate (annual)</t>
  </si>
  <si>
    <t>%</t>
  </si>
  <si>
    <t>$D$8</t>
  </si>
  <si>
    <t>R_FC</t>
  </si>
  <si>
    <t>R_FC_rec</t>
  </si>
  <si>
    <t>FC interest rate (annual)</t>
  </si>
  <si>
    <t>$D$9</t>
  </si>
  <si>
    <t>T_DAYS</t>
  </si>
  <si>
    <t>T_DAYS_rec</t>
  </si>
  <si>
    <t>Days to settlement</t>
  </si>
  <si>
    <t>Days</t>
  </si>
  <si>
    <t>$D$10</t>
  </si>
  <si>
    <t>BASIS</t>
  </si>
  <si>
    <t>BASIS_rec</t>
  </si>
  <si>
    <t>Day-count denominator</t>
  </si>
  <si>
    <t>$D$11</t>
  </si>
  <si>
    <t>K_PUT</t>
  </si>
  <si>
    <t>K_PUT_rec</t>
  </si>
  <si>
    <t>Put option strike</t>
  </si>
  <si>
    <t>$D$12</t>
  </si>
  <si>
    <t>PREM_PUT</t>
  </si>
  <si>
    <t>PREM_PUT_rec</t>
  </si>
  <si>
    <t>Put premium (USD per 1 FC)</t>
  </si>
  <si>
    <t>USD</t>
  </si>
  <si>
    <t>$D$13</t>
  </si>
  <si>
    <t>STEP_FRAC</t>
  </si>
  <si>
    <t>STEP_FRAC_rec</t>
  </si>
  <si>
    <t>Sensitivity step size</t>
  </si>
  <si>
    <t>$D$14</t>
  </si>
  <si>
    <t>DF_USD</t>
  </si>
  <si>
    <t>DF_USD_rec</t>
  </si>
  <si>
    <t>USD accumulation factor</t>
  </si>
  <si>
    <t>×</t>
  </si>
  <si>
    <t>$D$17</t>
  </si>
  <si>
    <t>DF_FC</t>
  </si>
  <si>
    <t>DF_FC_rec</t>
  </si>
  <si>
    <t>FC accumulation factor</t>
  </si>
  <si>
    <t>$D$18</t>
  </si>
  <si>
    <t>FV_PREM_PUT</t>
  </si>
  <si>
    <t>FV_PREM_PUT_rec</t>
  </si>
  <si>
    <t>FV of put premium (neg.)</t>
  </si>
  <si>
    <t>$D$19</t>
  </si>
  <si>
    <t>USD_FWD</t>
  </si>
  <si>
    <t>USD_FWD_rec</t>
  </si>
  <si>
    <t>Forward hedge USD proceeds</t>
  </si>
  <si>
    <t>$C$24</t>
  </si>
  <si>
    <t>USD_MM</t>
  </si>
  <si>
    <t>USD_MM_rec</t>
  </si>
  <si>
    <t>Money-market hedge USD proceeds</t>
  </si>
  <si>
    <t>$C$25</t>
  </si>
  <si>
    <t>USD_BASE_PUT</t>
  </si>
  <si>
    <t>USD_BASE_PUT_rec</t>
  </si>
  <si>
    <t>Put hedge USD proceeds @ baseline</t>
  </si>
  <si>
    <t>$C$26</t>
  </si>
  <si>
    <t>USD_FLOOR_PUT</t>
  </si>
  <si>
    <t>USD_FLOOR_PUT_rec</t>
  </si>
  <si>
    <t>Worst-case put outcome on grid</t>
  </si>
  <si>
    <t>$C$27</t>
  </si>
  <si>
    <t>FC_AMT_pay</t>
  </si>
  <si>
    <t>Foreign-currency payable</t>
  </si>
  <si>
    <t>Payable</t>
  </si>
  <si>
    <t>S0_in_pay</t>
  </si>
  <si>
    <t>F0_in_pay</t>
  </si>
  <si>
    <t>R_USD_pay</t>
  </si>
  <si>
    <t>R_FC_pay</t>
  </si>
  <si>
    <t>T_DAYS_pay</t>
  </si>
  <si>
    <t>BASIS_pay</t>
  </si>
  <si>
    <t>K_CALL</t>
  </si>
  <si>
    <t>K_CALL_pay</t>
  </si>
  <si>
    <t>Call option strike</t>
  </si>
  <si>
    <t>PREM_CALL</t>
  </si>
  <si>
    <t>PREM_CALL_pay</t>
  </si>
  <si>
    <t>Call premium (USD per 1 FC)</t>
  </si>
  <si>
    <t>STEP_FRAC_pay</t>
  </si>
  <si>
    <t>DF_USD_pay</t>
  </si>
  <si>
    <t>DF_FC_pay</t>
  </si>
  <si>
    <t>FV_PREM_CALL</t>
  </si>
  <si>
    <t>FV_PREM_CALL_pay</t>
  </si>
  <si>
    <t>FV of call premium (neg.)</t>
  </si>
  <si>
    <t>USD_FWD_pay</t>
  </si>
  <si>
    <t>Forward hedge USD outlay</t>
  </si>
  <si>
    <t>USD_MM_pay</t>
  </si>
  <si>
    <t>Money-market hedge USD outlay</t>
  </si>
  <si>
    <t>USD_BASE_CALL</t>
  </si>
  <si>
    <t>USD_BASE_CALL_pay</t>
  </si>
  <si>
    <t>Call hedge USD outlay @ baseline</t>
  </si>
  <si>
    <t>USD_CEILING_CALL</t>
  </si>
  <si>
    <t>USD_CEILING_CALL_pay</t>
  </si>
  <si>
    <t>Worst-case call outcome on grid</t>
  </si>
  <si>
    <t>Prepared per UH Mānoa brand standards (docs/_branding/design.json v1.0.0). Primary green #024731 · Black #000000 · Silver #B2B2B2 · Body Open Sans, 10–12 pt · ADA-compliant contrast · Flush-left alignment · No custom palettes or gradients.</t>
  </si>
  <si>
    <t>UNIVERSITY OF HAWAIʻI AT MĀNOA · SHIDLER COLLEGE OF BUSINESS · FIN 321</t>
  </si>
  <si>
    <t>FX Hedging — Foreign-Currency Receivable</t>
  </si>
  <si>
    <t>Example: U.S. exporter expecting FC-denominated revenue in T_DAYS days.</t>
  </si>
  <si>
    <t>Inputs (edit YELLOW cells)</t>
  </si>
  <si>
    <t>Foreign-currency notional</t>
  </si>
  <si>
    <t>Spot exchange rate (S₀)</t>
  </si>
  <si>
    <t>Forward rate to settlement (F₀)</t>
  </si>
  <si>
    <t>Day-count denominator (assumption)</t>
  </si>
  <si>
    <t>Put option strike (assumption — default = S₀)</t>
  </si>
  <si>
    <t>Option premium (USD per 1 FC)</t>
  </si>
  <si>
    <t>Sensitivity step size (assumption)</t>
  </si>
  <si>
    <t>Derived Values</t>
  </si>
  <si>
    <t>USD accumulation factor = 1 + R_USD × T_DAYS/BASIS</t>
  </si>
  <si>
    <t>FC accumulation factor = 1 + R_FC × T_DAYS/BASIS</t>
  </si>
  <si>
    <t>FV of put premium (negative cash flow at t₀, grown to maturity)</t>
  </si>
  <si>
    <t>Strategy Summary (Baseline at S_T = S₀)</t>
  </si>
  <si>
    <t>Strategy</t>
  </si>
  <si>
    <t>USD Proceeds @ Baseline</t>
  </si>
  <si>
    <t>Locked-in across grid?</t>
  </si>
  <si>
    <t>Hedge Profit vs. No Hedge</t>
  </si>
  <si>
    <t>No Hedge</t>
  </si>
  <si>
    <t>No</t>
  </si>
  <si>
    <t>—</t>
  </si>
  <si>
    <t>Forward</t>
  </si>
  <si>
    <t>Yes</t>
  </si>
  <si>
    <t>Money Market</t>
  </si>
  <si>
    <t>Option (Put)</t>
  </si>
  <si>
    <t>—  Put floor across grid</t>
  </si>
  <si>
    <t>Parity check</t>
  </si>
  <si>
    <t>Should be near zero under covered interest-rate parity.</t>
  </si>
  <si>
    <t>Sensitivity: USD Proceeds by Strategy vs. S_T</t>
  </si>
  <si>
    <t>n</t>
  </si>
  <si>
    <t>S_T</t>
  </si>
  <si>
    <t>Profit: Fwd</t>
  </si>
  <si>
    <t>Profit: MM</t>
  </si>
  <si>
    <t>Profit: Opt</t>
  </si>
  <si>
    <t>Overall Winner</t>
  </si>
  <si>
    <t>Best Active Hedge</t>
  </si>
  <si>
    <t>FX Hedging — Foreign-Currency Payable</t>
  </si>
  <si>
    <t>Example: U.S. importer owing FC-denominated invoice in T_DAYS days.</t>
  </si>
  <si>
    <t>Call option strike (assumption — default = S₀)</t>
  </si>
  <si>
    <t>FV of call premium (negative cash flow at t₀, grown to maturity)</t>
  </si>
  <si>
    <t>USD Outlay @ Baseline</t>
  </si>
  <si>
    <t>Option (Call)</t>
  </si>
  <si>
    <t>—  Call ceiling across grid</t>
  </si>
  <si>
    <t>Sensitivity: USD Outlay by Strategy vs. S_T</t>
  </si>
  <si>
    <t>Data Sources &amp; Access Dates</t>
  </si>
  <si>
    <t>Record sources for every market input. Required for Stage 3 reproducibility.</t>
  </si>
  <si>
    <t>Market Data Inputs</t>
  </si>
  <si>
    <t>Tab</t>
  </si>
  <si>
    <t>Source (vendor / URL / dataset)</t>
  </si>
  <si>
    <t>Access Date</t>
  </si>
  <si>
    <t>Analyst</t>
  </si>
  <si>
    <t>Spot rate (S₀)</t>
  </si>
  <si>
    <t>Forward rate (F₀)</t>
  </si>
  <si>
    <t>USD interest rate</t>
  </si>
  <si>
    <t>FC interest rate</t>
  </si>
  <si>
    <t>Put premium</t>
  </si>
  <si>
    <t>Call premium</t>
  </si>
  <si>
    <t>Analytical Assumptions &amp; Judgment Calls</t>
  </si>
  <si>
    <t>Record any deviations from the default assumptions in §3 of the spec. Examples:
  • BASIS override (360 vs. 365) and why.
  • Strike override away from S₀ (e.g., out-of-the-money put for cheaper premium).
  • Transaction-cost adjustments or bid-ask spread assumptions.
  • Rationale for scenario construction (step size, range).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</si>
</sst>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&quot;$&quot;#,##0;\(&quot;$&quot;#,##0\);\-"/>
    <numFmt numFmtId="166" formatCode="yyyy\-mm\-dd"/>
  </numFmts>
  <fonts count="15" x14ac:knownFonts="1">
    <font>
      <sz val="11"/>
      <color theme="1"/>
      <name val="Calibri"/>
      <family val="2"/>
      <scheme val="minor"/>
    </font>
    <font>
      <b/>
      <sz val="9"/>
      <color rgb="FFFFFFFF"/>
      <name val="Open Sans"/>
    </font>
    <font>
      <b/>
      <sz val="14"/>
      <color rgb="FF000000"/>
      <name val="Open Sans"/>
    </font>
    <font>
      <i/>
      <sz val="10"/>
      <color rgb="FF525252"/>
      <name val="Open Sans"/>
    </font>
    <font>
      <b/>
      <sz val="12"/>
      <color rgb="FF024731"/>
      <name val="Open Sans"/>
    </font>
    <font>
      <sz val="10"/>
      <color rgb="FF000000"/>
      <name val="Open Sans"/>
    </font>
    <font>
      <b/>
      <sz val="10"/>
      <color rgb="FF024731"/>
      <name val="Open Sans"/>
    </font>
    <font>
      <b/>
      <sz val="10"/>
      <color rgb="FFFFFFFF"/>
      <name val="Open Sans"/>
    </font>
    <font>
      <b/>
      <sz val="10"/>
      <color rgb="FF000000"/>
      <name val="Open Sans"/>
    </font>
    <font>
      <b/>
      <sz val="10"/>
      <color rgb="FF0000FF"/>
      <name val="Open Sans"/>
    </font>
    <font>
      <sz val="10"/>
      <color rgb="FF024731"/>
      <name val="Open Sans"/>
    </font>
    <font>
      <sz val="10"/>
      <color rgb="FFB43232"/>
      <name val="Open Sans"/>
    </font>
    <font>
      <i/>
      <sz val="9"/>
      <color rgb="FF525252"/>
      <name val="Open Sans"/>
    </font>
    <font>
      <sz val="10"/>
      <color rgb="FF0000FF"/>
      <name val="Open Sans"/>
    </font>
    <font>
      <sz val="10"/>
      <color rgb="FF525252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024731"/>
        <bgColor rgb="FF02473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6F2EF"/>
        <bgColor rgb="FFE6F2EF"/>
      </patternFill>
    </fill>
  </fills>
  <borders count="6">
    <border>
      <left/>
      <right/>
      <top/>
      <bottom/>
      <diagonal/>
    </border>
    <border>
      <left/>
      <right/>
      <top/>
      <bottom style="thin">
        <color rgb="FF0247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6" fillId="0" borderId="0" xfId="0" applyFont="1" applyAlignment="1">
      <alignment horizontal="right" vertical="top"/>
    </xf>
    <xf numFmtId="0" fontId="7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right" vertical="center"/>
    </xf>
    <xf numFmtId="164" fontId="5" fillId="3" borderId="2" xfId="0" applyNumberFormat="1" applyFont="1" applyFill="1" applyBorder="1" applyAlignment="1">
      <alignment horizontal="right" vertical="center"/>
    </xf>
    <xf numFmtId="10" fontId="5" fillId="3" borderId="2" xfId="0" applyNumberFormat="1" applyFont="1" applyFill="1" applyBorder="1" applyAlignment="1">
      <alignment horizontal="right" vertical="center"/>
    </xf>
    <xf numFmtId="3" fontId="13" fillId="3" borderId="2" xfId="0" applyNumberFormat="1" applyFont="1" applyFill="1" applyBorder="1" applyAlignment="1">
      <alignment horizontal="right" vertical="center"/>
    </xf>
    <xf numFmtId="164" fontId="13" fillId="3" borderId="2" xfId="0" applyNumberFormat="1" applyFont="1" applyFill="1" applyBorder="1" applyAlignment="1">
      <alignment horizontal="right" vertical="center"/>
    </xf>
    <xf numFmtId="10" fontId="13" fillId="3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5" fontId="5" fillId="0" borderId="2" xfId="0" applyNumberFormat="1" applyFont="1" applyBorder="1" applyAlignment="1">
      <alignment horizontal="right" vertical="center"/>
    </xf>
    <xf numFmtId="165" fontId="8" fillId="0" borderId="2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left" vertical="center" wrapText="1"/>
    </xf>
    <xf numFmtId="166" fontId="5" fillId="3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5" fillId="0" borderId="2" xfId="0" applyFont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12" fillId="0" borderId="2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5" fillId="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USD Proceeds by Strategy vs. Future Spot S_T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Receivable!$D$32</c:f>
              <c:strCache>
                <c:ptCount val="1"/>
                <c:pt idx="0">
                  <c:v>No Hedge</c:v>
                </c:pt>
              </c:strCache>
            </c:strRef>
          </c:tx>
          <c:spPr>
            <a:ln w="180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Receivable!$C$33:$C$43</c:f>
              <c:numCache>
                <c:formatCode>0.0000</c:formatCode>
                <c:ptCount val="11"/>
                <c:pt idx="0">
                  <c:v>1.1875</c:v>
                </c:pt>
                <c:pt idx="1">
                  <c:v>1.2</c:v>
                </c:pt>
                <c:pt idx="2">
                  <c:v>1.2124999999999999</c:v>
                </c:pt>
                <c:pt idx="3">
                  <c:v>1.2250000000000001</c:v>
                </c:pt>
                <c:pt idx="4">
                  <c:v>1.2375</c:v>
                </c:pt>
                <c:pt idx="5">
                  <c:v>1.25</c:v>
                </c:pt>
                <c:pt idx="6">
                  <c:v>1.2625</c:v>
                </c:pt>
                <c:pt idx="7">
                  <c:v>1.2749999999999999</c:v>
                </c:pt>
                <c:pt idx="8">
                  <c:v>1.2875000000000001</c:v>
                </c:pt>
                <c:pt idx="9">
                  <c:v>1.3</c:v>
                </c:pt>
                <c:pt idx="10">
                  <c:v>1.3125</c:v>
                </c:pt>
              </c:numCache>
            </c:numRef>
          </c:cat>
          <c:val>
            <c:numRef>
              <c:f>Receivable!$D$33:$D$43</c:f>
              <c:numCache>
                <c:formatCode>"$"#,##0;\("$"#,##0\);\-</c:formatCode>
                <c:ptCount val="11"/>
                <c:pt idx="0">
                  <c:v>11875000</c:v>
                </c:pt>
                <c:pt idx="1">
                  <c:v>12000000</c:v>
                </c:pt>
                <c:pt idx="2">
                  <c:v>12125000</c:v>
                </c:pt>
                <c:pt idx="3">
                  <c:v>12250000</c:v>
                </c:pt>
                <c:pt idx="4">
                  <c:v>12375000</c:v>
                </c:pt>
                <c:pt idx="5">
                  <c:v>12500000</c:v>
                </c:pt>
                <c:pt idx="6">
                  <c:v>12625000</c:v>
                </c:pt>
                <c:pt idx="7">
                  <c:v>12750000</c:v>
                </c:pt>
                <c:pt idx="8">
                  <c:v>12875000</c:v>
                </c:pt>
                <c:pt idx="9">
                  <c:v>13000000</c:v>
                </c:pt>
                <c:pt idx="10">
                  <c:v>13125000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866-4A5C-B79A-496E6A01B59F}"/>
            </c:ext>
          </c:extLst>
        </c:ser>
        <c:ser>
          <c:idx val="1"/>
          <c:order val="1"/>
          <c:tx>
            <c:strRef>
              <c:f>Receivable!$E$32</c:f>
              <c:strCache>
                <c:ptCount val="1"/>
                <c:pt idx="0">
                  <c:v>Forward</c:v>
                </c:pt>
              </c:strCache>
            </c:strRef>
          </c:tx>
          <c:spPr>
            <a:ln w="22000">
              <a:solidFill>
                <a:srgbClr val="024731"/>
              </a:solidFill>
              <a:prstDash val="solid"/>
            </a:ln>
          </c:spPr>
          <c:marker>
            <c:symbol val="none"/>
          </c:marker>
          <c:cat>
            <c:numRef>
              <c:f>Receivable!$C$33:$C$43</c:f>
              <c:numCache>
                <c:formatCode>0.0000</c:formatCode>
                <c:ptCount val="11"/>
                <c:pt idx="0">
                  <c:v>1.1875</c:v>
                </c:pt>
                <c:pt idx="1">
                  <c:v>1.2</c:v>
                </c:pt>
                <c:pt idx="2">
                  <c:v>1.2124999999999999</c:v>
                </c:pt>
                <c:pt idx="3">
                  <c:v>1.2250000000000001</c:v>
                </c:pt>
                <c:pt idx="4">
                  <c:v>1.2375</c:v>
                </c:pt>
                <c:pt idx="5">
                  <c:v>1.25</c:v>
                </c:pt>
                <c:pt idx="6">
                  <c:v>1.2625</c:v>
                </c:pt>
                <c:pt idx="7">
                  <c:v>1.2749999999999999</c:v>
                </c:pt>
                <c:pt idx="8">
                  <c:v>1.2875000000000001</c:v>
                </c:pt>
                <c:pt idx="9">
                  <c:v>1.3</c:v>
                </c:pt>
                <c:pt idx="10">
                  <c:v>1.3125</c:v>
                </c:pt>
              </c:numCache>
            </c:numRef>
          </c:cat>
          <c:val>
            <c:numRef>
              <c:f>Receivable!$E$33:$E$43</c:f>
              <c:numCache>
                <c:formatCode>"$"#,##0;\("$"#,##0\);\-</c:formatCode>
                <c:ptCount val="11"/>
                <c:pt idx="0">
                  <c:v>12620000</c:v>
                </c:pt>
                <c:pt idx="1">
                  <c:v>12620000</c:v>
                </c:pt>
                <c:pt idx="2">
                  <c:v>12620000</c:v>
                </c:pt>
                <c:pt idx="3">
                  <c:v>12620000</c:v>
                </c:pt>
                <c:pt idx="4">
                  <c:v>12620000</c:v>
                </c:pt>
                <c:pt idx="5">
                  <c:v>12620000</c:v>
                </c:pt>
                <c:pt idx="6">
                  <c:v>12620000</c:v>
                </c:pt>
                <c:pt idx="7">
                  <c:v>12620000</c:v>
                </c:pt>
                <c:pt idx="8">
                  <c:v>12620000</c:v>
                </c:pt>
                <c:pt idx="9">
                  <c:v>12620000</c:v>
                </c:pt>
                <c:pt idx="10">
                  <c:v>12620000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866-4A5C-B79A-496E6A01B59F}"/>
            </c:ext>
          </c:extLst>
        </c:ser>
        <c:ser>
          <c:idx val="2"/>
          <c:order val="2"/>
          <c:tx>
            <c:strRef>
              <c:f>Receivable!$F$32</c:f>
              <c:strCache>
                <c:ptCount val="1"/>
                <c:pt idx="0">
                  <c:v>Money Market</c:v>
                </c:pt>
              </c:strCache>
            </c:strRef>
          </c:tx>
          <c:spPr>
            <a:ln w="18000">
              <a:solidFill>
                <a:srgbClr val="013D26"/>
              </a:solidFill>
              <a:prstDash val="dash"/>
            </a:ln>
          </c:spPr>
          <c:marker>
            <c:symbol val="none"/>
          </c:marker>
          <c:cat>
            <c:numRef>
              <c:f>Receivable!$C$33:$C$43</c:f>
              <c:numCache>
                <c:formatCode>0.0000</c:formatCode>
                <c:ptCount val="11"/>
                <c:pt idx="0">
                  <c:v>1.1875</c:v>
                </c:pt>
                <c:pt idx="1">
                  <c:v>1.2</c:v>
                </c:pt>
                <c:pt idx="2">
                  <c:v>1.2124999999999999</c:v>
                </c:pt>
                <c:pt idx="3">
                  <c:v>1.2250000000000001</c:v>
                </c:pt>
                <c:pt idx="4">
                  <c:v>1.2375</c:v>
                </c:pt>
                <c:pt idx="5">
                  <c:v>1.25</c:v>
                </c:pt>
                <c:pt idx="6">
                  <c:v>1.2625</c:v>
                </c:pt>
                <c:pt idx="7">
                  <c:v>1.2749999999999999</c:v>
                </c:pt>
                <c:pt idx="8">
                  <c:v>1.2875000000000001</c:v>
                </c:pt>
                <c:pt idx="9">
                  <c:v>1.3</c:v>
                </c:pt>
                <c:pt idx="10">
                  <c:v>1.3125</c:v>
                </c:pt>
              </c:numCache>
            </c:numRef>
          </c:cat>
          <c:val>
            <c:numRef>
              <c:f>Receivable!$F$33:$F$43</c:f>
              <c:numCache>
                <c:formatCode>"$"#,##0;\("$"#,##0\);\-</c:formatCode>
                <c:ptCount val="11"/>
                <c:pt idx="0">
                  <c:v>12621206.083549179</c:v>
                </c:pt>
                <c:pt idx="1">
                  <c:v>12621206.083549179</c:v>
                </c:pt>
                <c:pt idx="2">
                  <c:v>12621206.083549179</c:v>
                </c:pt>
                <c:pt idx="3">
                  <c:v>12621206.083549179</c:v>
                </c:pt>
                <c:pt idx="4">
                  <c:v>12621206.083549179</c:v>
                </c:pt>
                <c:pt idx="5">
                  <c:v>12621206.083549179</c:v>
                </c:pt>
                <c:pt idx="6">
                  <c:v>12621206.083549179</c:v>
                </c:pt>
                <c:pt idx="7">
                  <c:v>12621206.083549179</c:v>
                </c:pt>
                <c:pt idx="8">
                  <c:v>12621206.083549179</c:v>
                </c:pt>
                <c:pt idx="9">
                  <c:v>12621206.083549179</c:v>
                </c:pt>
                <c:pt idx="10">
                  <c:v>12621206.083549179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866-4A5C-B79A-496E6A01B59F}"/>
            </c:ext>
          </c:extLst>
        </c:ser>
        <c:ser>
          <c:idx val="3"/>
          <c:order val="3"/>
          <c:tx>
            <c:strRef>
              <c:f>Receivable!$G$32</c:f>
              <c:strCache>
                <c:ptCount val="1"/>
                <c:pt idx="0">
                  <c:v>Option (Put)</c:v>
                </c:pt>
              </c:strCache>
            </c:strRef>
          </c:tx>
          <c:spPr>
            <a:ln w="22000">
              <a:solidFill>
                <a:srgbClr val="525252"/>
              </a:solidFill>
              <a:prstDash val="solid"/>
            </a:ln>
          </c:spPr>
          <c:marker>
            <c:symbol val="none"/>
          </c:marker>
          <c:cat>
            <c:numRef>
              <c:f>Receivable!$C$33:$C$43</c:f>
              <c:numCache>
                <c:formatCode>0.0000</c:formatCode>
                <c:ptCount val="11"/>
                <c:pt idx="0">
                  <c:v>1.1875</c:v>
                </c:pt>
                <c:pt idx="1">
                  <c:v>1.2</c:v>
                </c:pt>
                <c:pt idx="2">
                  <c:v>1.2124999999999999</c:v>
                </c:pt>
                <c:pt idx="3">
                  <c:v>1.2250000000000001</c:v>
                </c:pt>
                <c:pt idx="4">
                  <c:v>1.2375</c:v>
                </c:pt>
                <c:pt idx="5">
                  <c:v>1.25</c:v>
                </c:pt>
                <c:pt idx="6">
                  <c:v>1.2625</c:v>
                </c:pt>
                <c:pt idx="7">
                  <c:v>1.2749999999999999</c:v>
                </c:pt>
                <c:pt idx="8">
                  <c:v>1.2875000000000001</c:v>
                </c:pt>
                <c:pt idx="9">
                  <c:v>1.3</c:v>
                </c:pt>
                <c:pt idx="10">
                  <c:v>1.3125</c:v>
                </c:pt>
              </c:numCache>
            </c:numRef>
          </c:cat>
          <c:val>
            <c:numRef>
              <c:f>Receivable!$G$33:$G$43</c:f>
              <c:numCache>
                <c:formatCode>"$"#,##0;\("$"#,##0\);\-</c:formatCode>
                <c:ptCount val="11"/>
                <c:pt idx="0">
                  <c:v>12320520.138888888</c:v>
                </c:pt>
                <c:pt idx="1">
                  <c:v>12320520.138888888</c:v>
                </c:pt>
                <c:pt idx="2">
                  <c:v>12320520.138888888</c:v>
                </c:pt>
                <c:pt idx="3">
                  <c:v>12320520.138888888</c:v>
                </c:pt>
                <c:pt idx="4">
                  <c:v>12320520.138888888</c:v>
                </c:pt>
                <c:pt idx="5">
                  <c:v>12320520.138888888</c:v>
                </c:pt>
                <c:pt idx="6">
                  <c:v>12445520.138888888</c:v>
                </c:pt>
                <c:pt idx="7">
                  <c:v>12570520.138888888</c:v>
                </c:pt>
                <c:pt idx="8">
                  <c:v>12695520.138888888</c:v>
                </c:pt>
                <c:pt idx="9">
                  <c:v>12820520.138888888</c:v>
                </c:pt>
                <c:pt idx="10">
                  <c:v>12945520.138888888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866-4A5C-B79A-496E6A01B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S_T (USD per FC)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 Proceeds</a:t>
                </a:r>
              </a:p>
            </c:rich>
          </c:tx>
          <c:overlay val="1"/>
        </c:title>
        <c:numFmt formatCode="&quot;$&quot;#,##0;\(&quot;$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USD Outlay by Strategy vs. Future Spot S_T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Payable!$D$32</c:f>
              <c:strCache>
                <c:ptCount val="1"/>
                <c:pt idx="0">
                  <c:v>No Hedge</c:v>
                </c:pt>
              </c:strCache>
            </c:strRef>
          </c:tx>
          <c:spPr>
            <a:ln w="180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Payable!$C$33:$C$43</c:f>
              <c:numCache>
                <c:formatCode>0.0000</c:formatCode>
                <c:ptCount val="11"/>
                <c:pt idx="0">
                  <c:v>1.1875</c:v>
                </c:pt>
                <c:pt idx="1">
                  <c:v>1.2</c:v>
                </c:pt>
                <c:pt idx="2">
                  <c:v>1.2124999999999999</c:v>
                </c:pt>
                <c:pt idx="3">
                  <c:v>1.2250000000000001</c:v>
                </c:pt>
                <c:pt idx="4">
                  <c:v>1.2375</c:v>
                </c:pt>
                <c:pt idx="5">
                  <c:v>1.25</c:v>
                </c:pt>
                <c:pt idx="6">
                  <c:v>1.2625</c:v>
                </c:pt>
                <c:pt idx="7">
                  <c:v>1.2749999999999999</c:v>
                </c:pt>
                <c:pt idx="8">
                  <c:v>1.2875000000000001</c:v>
                </c:pt>
                <c:pt idx="9">
                  <c:v>1.3</c:v>
                </c:pt>
                <c:pt idx="10">
                  <c:v>1.3125</c:v>
                </c:pt>
              </c:numCache>
            </c:numRef>
          </c:cat>
          <c:val>
            <c:numRef>
              <c:f>Payable!$D$33:$D$43</c:f>
              <c:numCache>
                <c:formatCode>"$"#,##0;\("$"#,##0\);\-</c:formatCode>
                <c:ptCount val="11"/>
                <c:pt idx="0">
                  <c:v>5937500</c:v>
                </c:pt>
                <c:pt idx="1">
                  <c:v>6000000</c:v>
                </c:pt>
                <c:pt idx="2">
                  <c:v>6062500</c:v>
                </c:pt>
                <c:pt idx="3">
                  <c:v>6125000</c:v>
                </c:pt>
                <c:pt idx="4">
                  <c:v>6187500</c:v>
                </c:pt>
                <c:pt idx="5">
                  <c:v>6250000</c:v>
                </c:pt>
                <c:pt idx="6">
                  <c:v>6312500</c:v>
                </c:pt>
                <c:pt idx="7">
                  <c:v>6375000</c:v>
                </c:pt>
                <c:pt idx="8">
                  <c:v>6437500</c:v>
                </c:pt>
                <c:pt idx="9">
                  <c:v>6500000</c:v>
                </c:pt>
                <c:pt idx="10">
                  <c:v>6562500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F0F-49D8-8398-B876FBB0892E}"/>
            </c:ext>
          </c:extLst>
        </c:ser>
        <c:ser>
          <c:idx val="1"/>
          <c:order val="1"/>
          <c:tx>
            <c:strRef>
              <c:f>Payable!$E$32</c:f>
              <c:strCache>
                <c:ptCount val="1"/>
                <c:pt idx="0">
                  <c:v>Forward</c:v>
                </c:pt>
              </c:strCache>
            </c:strRef>
          </c:tx>
          <c:spPr>
            <a:ln w="22000">
              <a:solidFill>
                <a:srgbClr val="024731"/>
              </a:solidFill>
              <a:prstDash val="solid"/>
            </a:ln>
          </c:spPr>
          <c:marker>
            <c:symbol val="none"/>
          </c:marker>
          <c:cat>
            <c:numRef>
              <c:f>Payable!$C$33:$C$43</c:f>
              <c:numCache>
                <c:formatCode>0.0000</c:formatCode>
                <c:ptCount val="11"/>
                <c:pt idx="0">
                  <c:v>1.1875</c:v>
                </c:pt>
                <c:pt idx="1">
                  <c:v>1.2</c:v>
                </c:pt>
                <c:pt idx="2">
                  <c:v>1.2124999999999999</c:v>
                </c:pt>
                <c:pt idx="3">
                  <c:v>1.2250000000000001</c:v>
                </c:pt>
                <c:pt idx="4">
                  <c:v>1.2375</c:v>
                </c:pt>
                <c:pt idx="5">
                  <c:v>1.25</c:v>
                </c:pt>
                <c:pt idx="6">
                  <c:v>1.2625</c:v>
                </c:pt>
                <c:pt idx="7">
                  <c:v>1.2749999999999999</c:v>
                </c:pt>
                <c:pt idx="8">
                  <c:v>1.2875000000000001</c:v>
                </c:pt>
                <c:pt idx="9">
                  <c:v>1.3</c:v>
                </c:pt>
                <c:pt idx="10">
                  <c:v>1.3125</c:v>
                </c:pt>
              </c:numCache>
            </c:numRef>
          </c:cat>
          <c:val>
            <c:numRef>
              <c:f>Payable!$E$33:$E$43</c:f>
              <c:numCache>
                <c:formatCode>"$"#,##0;\("$"#,##0\);\-</c:formatCode>
                <c:ptCount val="11"/>
                <c:pt idx="0">
                  <c:v>6310000</c:v>
                </c:pt>
                <c:pt idx="1">
                  <c:v>6310000</c:v>
                </c:pt>
                <c:pt idx="2">
                  <c:v>6310000</c:v>
                </c:pt>
                <c:pt idx="3">
                  <c:v>6310000</c:v>
                </c:pt>
                <c:pt idx="4">
                  <c:v>6310000</c:v>
                </c:pt>
                <c:pt idx="5">
                  <c:v>6310000</c:v>
                </c:pt>
                <c:pt idx="6">
                  <c:v>6310000</c:v>
                </c:pt>
                <c:pt idx="7">
                  <c:v>6310000</c:v>
                </c:pt>
                <c:pt idx="8">
                  <c:v>6310000</c:v>
                </c:pt>
                <c:pt idx="9">
                  <c:v>6310000</c:v>
                </c:pt>
                <c:pt idx="10">
                  <c:v>6310000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F0F-49D8-8398-B876FBB0892E}"/>
            </c:ext>
          </c:extLst>
        </c:ser>
        <c:ser>
          <c:idx val="2"/>
          <c:order val="2"/>
          <c:tx>
            <c:strRef>
              <c:f>Payable!$F$32</c:f>
              <c:strCache>
                <c:ptCount val="1"/>
                <c:pt idx="0">
                  <c:v>Money Market</c:v>
                </c:pt>
              </c:strCache>
            </c:strRef>
          </c:tx>
          <c:spPr>
            <a:ln w="18000">
              <a:solidFill>
                <a:srgbClr val="013D26"/>
              </a:solidFill>
              <a:prstDash val="dash"/>
            </a:ln>
          </c:spPr>
          <c:marker>
            <c:symbol val="none"/>
          </c:marker>
          <c:cat>
            <c:numRef>
              <c:f>Payable!$C$33:$C$43</c:f>
              <c:numCache>
                <c:formatCode>0.0000</c:formatCode>
                <c:ptCount val="11"/>
                <c:pt idx="0">
                  <c:v>1.1875</c:v>
                </c:pt>
                <c:pt idx="1">
                  <c:v>1.2</c:v>
                </c:pt>
                <c:pt idx="2">
                  <c:v>1.2124999999999999</c:v>
                </c:pt>
                <c:pt idx="3">
                  <c:v>1.2250000000000001</c:v>
                </c:pt>
                <c:pt idx="4">
                  <c:v>1.2375</c:v>
                </c:pt>
                <c:pt idx="5">
                  <c:v>1.25</c:v>
                </c:pt>
                <c:pt idx="6">
                  <c:v>1.2625</c:v>
                </c:pt>
                <c:pt idx="7">
                  <c:v>1.2749999999999999</c:v>
                </c:pt>
                <c:pt idx="8">
                  <c:v>1.2875000000000001</c:v>
                </c:pt>
                <c:pt idx="9">
                  <c:v>1.3</c:v>
                </c:pt>
                <c:pt idx="10">
                  <c:v>1.3125</c:v>
                </c:pt>
              </c:numCache>
            </c:numRef>
          </c:cat>
          <c:val>
            <c:numRef>
              <c:f>Payable!$F$33:$F$43</c:f>
              <c:numCache>
                <c:formatCode>"$"#,##0;\("$"#,##0\);\-</c:formatCode>
                <c:ptCount val="11"/>
                <c:pt idx="0">
                  <c:v>6310603.0417745896</c:v>
                </c:pt>
                <c:pt idx="1">
                  <c:v>6310603.0417745896</c:v>
                </c:pt>
                <c:pt idx="2">
                  <c:v>6310603.0417745896</c:v>
                </c:pt>
                <c:pt idx="3">
                  <c:v>6310603.0417745896</c:v>
                </c:pt>
                <c:pt idx="4">
                  <c:v>6310603.0417745896</c:v>
                </c:pt>
                <c:pt idx="5">
                  <c:v>6310603.0417745896</c:v>
                </c:pt>
                <c:pt idx="6">
                  <c:v>6310603.0417745896</c:v>
                </c:pt>
                <c:pt idx="7">
                  <c:v>6310603.0417745896</c:v>
                </c:pt>
                <c:pt idx="8">
                  <c:v>6310603.0417745896</c:v>
                </c:pt>
                <c:pt idx="9">
                  <c:v>6310603.0417745896</c:v>
                </c:pt>
                <c:pt idx="10">
                  <c:v>6310603.0417745896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F0F-49D8-8398-B876FBB0892E}"/>
            </c:ext>
          </c:extLst>
        </c:ser>
        <c:ser>
          <c:idx val="3"/>
          <c:order val="3"/>
          <c:tx>
            <c:strRef>
              <c:f>Payable!$G$32</c:f>
              <c:strCache>
                <c:ptCount val="1"/>
                <c:pt idx="0">
                  <c:v>Option (Call)</c:v>
                </c:pt>
              </c:strCache>
            </c:strRef>
          </c:tx>
          <c:spPr>
            <a:ln w="22000">
              <a:solidFill>
                <a:srgbClr val="525252"/>
              </a:solidFill>
              <a:prstDash val="solid"/>
            </a:ln>
          </c:spPr>
          <c:marker>
            <c:symbol val="none"/>
          </c:marker>
          <c:cat>
            <c:numRef>
              <c:f>Payable!$C$33:$C$43</c:f>
              <c:numCache>
                <c:formatCode>0.0000</c:formatCode>
                <c:ptCount val="11"/>
                <c:pt idx="0">
                  <c:v>1.1875</c:v>
                </c:pt>
                <c:pt idx="1">
                  <c:v>1.2</c:v>
                </c:pt>
                <c:pt idx="2">
                  <c:v>1.2124999999999999</c:v>
                </c:pt>
                <c:pt idx="3">
                  <c:v>1.2250000000000001</c:v>
                </c:pt>
                <c:pt idx="4">
                  <c:v>1.2375</c:v>
                </c:pt>
                <c:pt idx="5">
                  <c:v>1.25</c:v>
                </c:pt>
                <c:pt idx="6">
                  <c:v>1.2625</c:v>
                </c:pt>
                <c:pt idx="7">
                  <c:v>1.2749999999999999</c:v>
                </c:pt>
                <c:pt idx="8">
                  <c:v>1.2875000000000001</c:v>
                </c:pt>
                <c:pt idx="9">
                  <c:v>1.3</c:v>
                </c:pt>
                <c:pt idx="10">
                  <c:v>1.3125</c:v>
                </c:pt>
              </c:numCache>
            </c:numRef>
          </c:cat>
          <c:val>
            <c:numRef>
              <c:f>Payable!$G$33:$G$43</c:f>
              <c:numCache>
                <c:formatCode>"$"#,##0;\("$"#,##0\);\-</c:formatCode>
                <c:ptCount val="11"/>
                <c:pt idx="0">
                  <c:v>6048355.208333333</c:v>
                </c:pt>
                <c:pt idx="1">
                  <c:v>6110855.208333333</c:v>
                </c:pt>
                <c:pt idx="2">
                  <c:v>6173355.208333333</c:v>
                </c:pt>
                <c:pt idx="3">
                  <c:v>6235855.208333333</c:v>
                </c:pt>
                <c:pt idx="4">
                  <c:v>6298355.208333333</c:v>
                </c:pt>
                <c:pt idx="5">
                  <c:v>6360855.208333333</c:v>
                </c:pt>
                <c:pt idx="6">
                  <c:v>6360855.208333333</c:v>
                </c:pt>
                <c:pt idx="7">
                  <c:v>6360855.208333333</c:v>
                </c:pt>
                <c:pt idx="8">
                  <c:v>6360855.208333333</c:v>
                </c:pt>
                <c:pt idx="9">
                  <c:v>6360855.208333333</c:v>
                </c:pt>
                <c:pt idx="10">
                  <c:v>6360855.208333333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F0F-49D8-8398-B876FBB08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S_T (USD per FC)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USD Outlay</a:t>
                </a:r>
              </a:p>
            </c:rich>
          </c:tx>
          <c:overlay val="1"/>
        </c:title>
        <c:numFmt formatCode="&quot;$&quot;#,##0;\(&quot;$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5FC931-9956-4543-B9DC-40B954FEAB04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911b256-339f-4b00-b6e0-646b764018b1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showGridLines="0" tabSelected="1" workbookViewId="0">
      <selection sqref="A1:L1"/>
    </sheetView>
  </sheetViews>
  <sheetFormatPr defaultRowHeight="14.5" x14ac:dyDescent="0.35"/>
  <cols>
    <col min="1" max="1" width="2" customWidth="1"/>
    <col min="2" max="2" width="26" customWidth="1"/>
    <col min="3" max="3" width="42" customWidth="1"/>
    <col min="4" max="4" width="18" customWidth="1"/>
    <col min="5" max="11" width="14" customWidth="1"/>
    <col min="12" max="12" width="2" customWidth="1"/>
  </cols>
  <sheetData>
    <row r="1" spans="1:12" ht="22" customHeight="1" x14ac:dyDescent="0.35">
      <c r="A1" s="40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4" customHeight="1" x14ac:dyDescent="0.35">
      <c r="A2" s="37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18" customHeight="1" x14ac:dyDescent="0.35">
      <c r="A3" s="36" t="s">
        <v>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5" spans="1:12" ht="20" customHeight="1" x14ac:dyDescent="0.35">
      <c r="A5" s="38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2" ht="36" customHeight="1" x14ac:dyDescent="0.35">
      <c r="B6" s="32" t="s">
        <v>4</v>
      </c>
      <c r="C6" s="33"/>
      <c r="D6" s="33"/>
      <c r="E6" s="33"/>
      <c r="F6" s="33"/>
      <c r="G6" s="33"/>
      <c r="H6" s="33"/>
      <c r="I6" s="33"/>
      <c r="J6" s="33"/>
      <c r="K6" s="33"/>
    </row>
    <row r="7" spans="1:12" ht="36" customHeight="1" x14ac:dyDescent="0.35">
      <c r="B7" s="33"/>
      <c r="C7" s="33"/>
      <c r="D7" s="33"/>
      <c r="E7" s="33"/>
      <c r="F7" s="33"/>
      <c r="G7" s="33"/>
      <c r="H7" s="33"/>
      <c r="I7" s="33"/>
      <c r="J7" s="33"/>
      <c r="K7" s="33"/>
    </row>
    <row r="9" spans="1:12" ht="20" customHeight="1" x14ac:dyDescent="0.35">
      <c r="A9" s="38" t="s">
        <v>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12" ht="18" customHeight="1" x14ac:dyDescent="0.35">
      <c r="B10" s="1" t="s">
        <v>6</v>
      </c>
      <c r="C10" s="32" t="s">
        <v>7</v>
      </c>
      <c r="D10" s="33"/>
      <c r="E10" s="33"/>
      <c r="F10" s="33"/>
      <c r="G10" s="33"/>
      <c r="H10" s="33"/>
      <c r="I10" s="33"/>
      <c r="J10" s="33"/>
      <c r="K10" s="33"/>
    </row>
    <row r="11" spans="1:12" ht="18" customHeight="1" x14ac:dyDescent="0.35">
      <c r="B11" s="1" t="s">
        <v>8</v>
      </c>
      <c r="C11" s="32" t="s">
        <v>9</v>
      </c>
      <c r="D11" s="33"/>
      <c r="E11" s="33"/>
      <c r="F11" s="33"/>
      <c r="G11" s="33"/>
      <c r="H11" s="33"/>
      <c r="I11" s="33"/>
      <c r="J11" s="33"/>
      <c r="K11" s="33"/>
    </row>
    <row r="12" spans="1:12" ht="18" customHeight="1" x14ac:dyDescent="0.35">
      <c r="B12" s="1" t="s">
        <v>10</v>
      </c>
      <c r="C12" s="32" t="s">
        <v>11</v>
      </c>
      <c r="D12" s="33"/>
      <c r="E12" s="33"/>
      <c r="F12" s="33"/>
      <c r="G12" s="33"/>
      <c r="H12" s="33"/>
      <c r="I12" s="33"/>
      <c r="J12" s="33"/>
      <c r="K12" s="33"/>
    </row>
    <row r="13" spans="1:12" ht="18" customHeight="1" x14ac:dyDescent="0.35">
      <c r="B13" s="1" t="s">
        <v>12</v>
      </c>
      <c r="C13" s="32" t="s">
        <v>13</v>
      </c>
      <c r="D13" s="33"/>
      <c r="E13" s="33"/>
      <c r="F13" s="33"/>
      <c r="G13" s="33"/>
      <c r="H13" s="33"/>
      <c r="I13" s="33"/>
      <c r="J13" s="33"/>
      <c r="K13" s="33"/>
    </row>
    <row r="14" spans="1:12" ht="18" customHeight="1" x14ac:dyDescent="0.35">
      <c r="B14" s="1" t="s">
        <v>14</v>
      </c>
      <c r="C14" s="32" t="s">
        <v>15</v>
      </c>
      <c r="D14" s="33"/>
      <c r="E14" s="33"/>
      <c r="F14" s="33"/>
      <c r="G14" s="33"/>
      <c r="H14" s="33"/>
      <c r="I14" s="33"/>
      <c r="J14" s="33"/>
      <c r="K14" s="33"/>
    </row>
    <row r="15" spans="1:12" ht="18" customHeight="1" x14ac:dyDescent="0.35">
      <c r="B15" s="1" t="s">
        <v>16</v>
      </c>
      <c r="C15" s="32" t="s">
        <v>17</v>
      </c>
      <c r="D15" s="33"/>
      <c r="E15" s="33"/>
      <c r="F15" s="33"/>
      <c r="G15" s="33"/>
      <c r="H15" s="33"/>
      <c r="I15" s="33"/>
      <c r="J15" s="33"/>
      <c r="K15" s="33"/>
    </row>
    <row r="16" spans="1:12" ht="18" customHeight="1" x14ac:dyDescent="0.35">
      <c r="B16" s="1" t="s">
        <v>18</v>
      </c>
      <c r="C16" s="32" t="s">
        <v>19</v>
      </c>
      <c r="D16" s="33"/>
      <c r="E16" s="33"/>
      <c r="F16" s="33"/>
      <c r="G16" s="33"/>
      <c r="H16" s="33"/>
      <c r="I16" s="33"/>
      <c r="J16" s="33"/>
      <c r="K16" s="33"/>
    </row>
    <row r="19" spans="1:12" ht="20" customHeight="1" x14ac:dyDescent="0.35">
      <c r="A19" s="38" t="s">
        <v>20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</row>
    <row r="20" spans="1:12" ht="20" customHeight="1" x14ac:dyDescent="0.35">
      <c r="B20" s="2" t="s">
        <v>21</v>
      </c>
      <c r="C20" s="2" t="s">
        <v>22</v>
      </c>
      <c r="D20" s="2" t="s">
        <v>23</v>
      </c>
    </row>
    <row r="21" spans="1:12" ht="18" customHeight="1" x14ac:dyDescent="0.35">
      <c r="B21" s="3" t="s">
        <v>24</v>
      </c>
      <c r="C21" s="4" t="s">
        <v>25</v>
      </c>
      <c r="D21" s="34" t="s">
        <v>26</v>
      </c>
      <c r="E21" s="33"/>
      <c r="F21" s="33"/>
      <c r="G21" s="33"/>
      <c r="H21" s="33"/>
      <c r="I21" s="33"/>
      <c r="J21" s="33"/>
      <c r="K21" s="33"/>
    </row>
    <row r="22" spans="1:12" ht="18" customHeight="1" x14ac:dyDescent="0.35">
      <c r="B22" s="6" t="s">
        <v>24</v>
      </c>
      <c r="C22" s="4" t="s">
        <v>27</v>
      </c>
      <c r="D22" s="34" t="s">
        <v>28</v>
      </c>
      <c r="E22" s="33"/>
      <c r="F22" s="33"/>
      <c r="G22" s="33"/>
      <c r="H22" s="33"/>
      <c r="I22" s="33"/>
      <c r="J22" s="33"/>
      <c r="K22" s="33"/>
    </row>
    <row r="23" spans="1:12" ht="18" customHeight="1" x14ac:dyDescent="0.35">
      <c r="B23" s="7" t="s">
        <v>24</v>
      </c>
      <c r="C23" s="4" t="s">
        <v>29</v>
      </c>
      <c r="D23" s="34" t="s">
        <v>30</v>
      </c>
      <c r="E23" s="33"/>
      <c r="F23" s="33"/>
      <c r="G23" s="33"/>
      <c r="H23" s="33"/>
      <c r="I23" s="33"/>
      <c r="J23" s="33"/>
      <c r="K23" s="33"/>
    </row>
    <row r="24" spans="1:12" ht="18" customHeight="1" x14ac:dyDescent="0.35">
      <c r="B24" s="8" t="s">
        <v>24</v>
      </c>
      <c r="C24" s="4" t="s">
        <v>31</v>
      </c>
      <c r="D24" s="34" t="s">
        <v>32</v>
      </c>
      <c r="E24" s="33"/>
      <c r="F24" s="33"/>
      <c r="G24" s="33"/>
      <c r="H24" s="33"/>
      <c r="I24" s="33"/>
      <c r="J24" s="33"/>
      <c r="K24" s="33"/>
    </row>
    <row r="25" spans="1:12" ht="18" customHeight="1" x14ac:dyDescent="0.35">
      <c r="B25" s="9" t="s">
        <v>24</v>
      </c>
      <c r="C25" s="4" t="s">
        <v>33</v>
      </c>
      <c r="D25" s="34" t="s">
        <v>34</v>
      </c>
      <c r="E25" s="33"/>
      <c r="F25" s="33"/>
      <c r="G25" s="33"/>
      <c r="H25" s="33"/>
      <c r="I25" s="33"/>
      <c r="J25" s="33"/>
      <c r="K25" s="33"/>
    </row>
    <row r="26" spans="1:12" ht="18" customHeight="1" x14ac:dyDescent="0.35">
      <c r="B26" s="2" t="s">
        <v>24</v>
      </c>
      <c r="C26" s="4" t="s">
        <v>35</v>
      </c>
      <c r="D26" s="34" t="s">
        <v>36</v>
      </c>
      <c r="E26" s="33"/>
      <c r="F26" s="33"/>
      <c r="G26" s="33"/>
      <c r="H26" s="33"/>
      <c r="I26" s="33"/>
      <c r="J26" s="33"/>
      <c r="K26" s="33"/>
    </row>
    <row r="29" spans="1:12" ht="20" customHeight="1" x14ac:dyDescent="0.35">
      <c r="A29" s="38" t="s">
        <v>37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1:12" ht="20" customHeight="1" x14ac:dyDescent="0.35">
      <c r="B30" s="2" t="s">
        <v>38</v>
      </c>
      <c r="C30" s="2" t="s">
        <v>39</v>
      </c>
      <c r="D30" s="35" t="s">
        <v>23</v>
      </c>
      <c r="E30" s="2" t="s">
        <v>40</v>
      </c>
      <c r="F30" s="2" t="s">
        <v>41</v>
      </c>
      <c r="G30" s="2" t="s">
        <v>42</v>
      </c>
    </row>
    <row r="31" spans="1:12" ht="16" customHeight="1" x14ac:dyDescent="0.35">
      <c r="B31" s="10" t="s">
        <v>43</v>
      </c>
      <c r="C31" s="11" t="s">
        <v>44</v>
      </c>
      <c r="D31" s="5" t="s">
        <v>45</v>
      </c>
      <c r="E31" s="12" t="s">
        <v>46</v>
      </c>
      <c r="F31" s="12" t="s">
        <v>47</v>
      </c>
      <c r="G31" s="12" t="s">
        <v>48</v>
      </c>
    </row>
    <row r="32" spans="1:12" ht="16" customHeight="1" x14ac:dyDescent="0.35">
      <c r="B32" s="10" t="s">
        <v>49</v>
      </c>
      <c r="C32" s="11" t="s">
        <v>50</v>
      </c>
      <c r="D32" s="5" t="s">
        <v>51</v>
      </c>
      <c r="E32" s="12" t="s">
        <v>52</v>
      </c>
      <c r="F32" s="12" t="s">
        <v>47</v>
      </c>
      <c r="G32" s="12" t="s">
        <v>53</v>
      </c>
    </row>
    <row r="33" spans="2:7" ht="16" customHeight="1" x14ac:dyDescent="0.35">
      <c r="B33" s="10" t="s">
        <v>54</v>
      </c>
      <c r="C33" s="11" t="s">
        <v>55</v>
      </c>
      <c r="D33" s="5" t="s">
        <v>56</v>
      </c>
      <c r="E33" s="12" t="s">
        <v>52</v>
      </c>
      <c r="F33" s="12" t="s">
        <v>47</v>
      </c>
      <c r="G33" s="12" t="s">
        <v>57</v>
      </c>
    </row>
    <row r="34" spans="2:7" ht="16" customHeight="1" x14ac:dyDescent="0.35">
      <c r="B34" s="10" t="s">
        <v>58</v>
      </c>
      <c r="C34" s="11" t="s">
        <v>59</v>
      </c>
      <c r="D34" s="5" t="s">
        <v>60</v>
      </c>
      <c r="E34" s="12" t="s">
        <v>61</v>
      </c>
      <c r="F34" s="12" t="s">
        <v>47</v>
      </c>
      <c r="G34" s="12" t="s">
        <v>62</v>
      </c>
    </row>
    <row r="35" spans="2:7" ht="16" customHeight="1" x14ac:dyDescent="0.35">
      <c r="B35" s="10" t="s">
        <v>63</v>
      </c>
      <c r="C35" s="11" t="s">
        <v>64</v>
      </c>
      <c r="D35" s="5" t="s">
        <v>65</v>
      </c>
      <c r="E35" s="12" t="s">
        <v>61</v>
      </c>
      <c r="F35" s="12" t="s">
        <v>47</v>
      </c>
      <c r="G35" s="12" t="s">
        <v>66</v>
      </c>
    </row>
    <row r="36" spans="2:7" ht="16" customHeight="1" x14ac:dyDescent="0.35">
      <c r="B36" s="10" t="s">
        <v>67</v>
      </c>
      <c r="C36" s="11" t="s">
        <v>68</v>
      </c>
      <c r="D36" s="5" t="s">
        <v>69</v>
      </c>
      <c r="E36" s="12" t="s">
        <v>70</v>
      </c>
      <c r="F36" s="12" t="s">
        <v>47</v>
      </c>
      <c r="G36" s="12" t="s">
        <v>71</v>
      </c>
    </row>
    <row r="37" spans="2:7" ht="16" customHeight="1" x14ac:dyDescent="0.35">
      <c r="B37" s="10" t="s">
        <v>72</v>
      </c>
      <c r="C37" s="11" t="s">
        <v>73</v>
      </c>
      <c r="D37" s="5" t="s">
        <v>74</v>
      </c>
      <c r="E37" s="12" t="s">
        <v>70</v>
      </c>
      <c r="F37" s="12" t="s">
        <v>47</v>
      </c>
      <c r="G37" s="12" t="s">
        <v>75</v>
      </c>
    </row>
    <row r="38" spans="2:7" ht="16" customHeight="1" x14ac:dyDescent="0.35">
      <c r="B38" s="10" t="s">
        <v>76</v>
      </c>
      <c r="C38" s="11" t="s">
        <v>77</v>
      </c>
      <c r="D38" s="5" t="s">
        <v>78</v>
      </c>
      <c r="E38" s="12" t="s">
        <v>52</v>
      </c>
      <c r="F38" s="12" t="s">
        <v>47</v>
      </c>
      <c r="G38" s="12" t="s">
        <v>79</v>
      </c>
    </row>
    <row r="39" spans="2:7" ht="16" customHeight="1" x14ac:dyDescent="0.35">
      <c r="B39" s="10" t="s">
        <v>80</v>
      </c>
      <c r="C39" s="11" t="s">
        <v>81</v>
      </c>
      <c r="D39" s="5" t="s">
        <v>82</v>
      </c>
      <c r="E39" s="12" t="s">
        <v>83</v>
      </c>
      <c r="F39" s="12" t="s">
        <v>47</v>
      </c>
      <c r="G39" s="12" t="s">
        <v>84</v>
      </c>
    </row>
    <row r="40" spans="2:7" ht="16" customHeight="1" x14ac:dyDescent="0.35">
      <c r="B40" s="10" t="s">
        <v>85</v>
      </c>
      <c r="C40" s="11" t="s">
        <v>86</v>
      </c>
      <c r="D40" s="5" t="s">
        <v>87</v>
      </c>
      <c r="E40" s="12" t="s">
        <v>61</v>
      </c>
      <c r="F40" s="12" t="s">
        <v>47</v>
      </c>
      <c r="G40" s="12" t="s">
        <v>88</v>
      </c>
    </row>
    <row r="41" spans="2:7" ht="16" customHeight="1" x14ac:dyDescent="0.35">
      <c r="B41" s="10" t="s">
        <v>89</v>
      </c>
      <c r="C41" s="11" t="s">
        <v>90</v>
      </c>
      <c r="D41" s="5" t="s">
        <v>91</v>
      </c>
      <c r="E41" s="12" t="s">
        <v>92</v>
      </c>
      <c r="F41" s="12" t="s">
        <v>47</v>
      </c>
      <c r="G41" s="12" t="s">
        <v>93</v>
      </c>
    </row>
    <row r="42" spans="2:7" ht="16" customHeight="1" x14ac:dyDescent="0.35">
      <c r="B42" s="10" t="s">
        <v>94</v>
      </c>
      <c r="C42" s="11" t="s">
        <v>95</v>
      </c>
      <c r="D42" s="5" t="s">
        <v>96</v>
      </c>
      <c r="E42" s="12" t="s">
        <v>92</v>
      </c>
      <c r="F42" s="12" t="s">
        <v>47</v>
      </c>
      <c r="G42" s="12" t="s">
        <v>97</v>
      </c>
    </row>
    <row r="43" spans="2:7" ht="16" customHeight="1" x14ac:dyDescent="0.35">
      <c r="B43" s="10" t="s">
        <v>98</v>
      </c>
      <c r="C43" s="11" t="s">
        <v>99</v>
      </c>
      <c r="D43" s="5" t="s">
        <v>100</v>
      </c>
      <c r="E43" s="12" t="s">
        <v>83</v>
      </c>
      <c r="F43" s="12" t="s">
        <v>47</v>
      </c>
      <c r="G43" s="12" t="s">
        <v>101</v>
      </c>
    </row>
    <row r="44" spans="2:7" ht="16" customHeight="1" x14ac:dyDescent="0.35">
      <c r="B44" s="10" t="s">
        <v>102</v>
      </c>
      <c r="C44" s="11" t="s">
        <v>103</v>
      </c>
      <c r="D44" s="5" t="s">
        <v>104</v>
      </c>
      <c r="E44" s="12" t="s">
        <v>83</v>
      </c>
      <c r="F44" s="12" t="s">
        <v>47</v>
      </c>
      <c r="G44" s="12" t="s">
        <v>105</v>
      </c>
    </row>
    <row r="45" spans="2:7" ht="16" customHeight="1" x14ac:dyDescent="0.35">
      <c r="B45" s="10" t="s">
        <v>106</v>
      </c>
      <c r="C45" s="11" t="s">
        <v>107</v>
      </c>
      <c r="D45" s="5" t="s">
        <v>108</v>
      </c>
      <c r="E45" s="12" t="s">
        <v>83</v>
      </c>
      <c r="F45" s="12" t="s">
        <v>47</v>
      </c>
      <c r="G45" s="12" t="s">
        <v>109</v>
      </c>
    </row>
    <row r="46" spans="2:7" ht="16" customHeight="1" x14ac:dyDescent="0.35">
      <c r="B46" s="10" t="s">
        <v>110</v>
      </c>
      <c r="C46" s="11" t="s">
        <v>111</v>
      </c>
      <c r="D46" s="5" t="s">
        <v>112</v>
      </c>
      <c r="E46" s="12" t="s">
        <v>83</v>
      </c>
      <c r="F46" s="12" t="s">
        <v>47</v>
      </c>
      <c r="G46" s="12" t="s">
        <v>113</v>
      </c>
    </row>
    <row r="47" spans="2:7" ht="16" customHeight="1" x14ac:dyDescent="0.35">
      <c r="B47" s="10" t="s">
        <v>114</v>
      </c>
      <c r="C47" s="11" t="s">
        <v>115</v>
      </c>
      <c r="D47" s="5" t="s">
        <v>116</v>
      </c>
      <c r="E47" s="12" t="s">
        <v>83</v>
      </c>
      <c r="F47" s="12" t="s">
        <v>47</v>
      </c>
      <c r="G47" s="12" t="s">
        <v>117</v>
      </c>
    </row>
    <row r="48" spans="2:7" ht="16" customHeight="1" x14ac:dyDescent="0.35">
      <c r="B48" s="10" t="s">
        <v>43</v>
      </c>
      <c r="C48" s="11" t="s">
        <v>118</v>
      </c>
      <c r="D48" s="5" t="s">
        <v>119</v>
      </c>
      <c r="E48" s="12" t="s">
        <v>46</v>
      </c>
      <c r="F48" s="12" t="s">
        <v>120</v>
      </c>
      <c r="G48" s="12" t="s">
        <v>48</v>
      </c>
    </row>
    <row r="49" spans="2:7" ht="16" customHeight="1" x14ac:dyDescent="0.35">
      <c r="B49" s="10" t="s">
        <v>49</v>
      </c>
      <c r="C49" s="11" t="s">
        <v>121</v>
      </c>
      <c r="D49" s="5" t="s">
        <v>51</v>
      </c>
      <c r="E49" s="12" t="s">
        <v>52</v>
      </c>
      <c r="F49" s="12" t="s">
        <v>120</v>
      </c>
      <c r="G49" s="12" t="s">
        <v>53</v>
      </c>
    </row>
    <row r="50" spans="2:7" ht="16" customHeight="1" x14ac:dyDescent="0.35">
      <c r="B50" s="10" t="s">
        <v>54</v>
      </c>
      <c r="C50" s="11" t="s">
        <v>122</v>
      </c>
      <c r="D50" s="5" t="s">
        <v>56</v>
      </c>
      <c r="E50" s="12" t="s">
        <v>52</v>
      </c>
      <c r="F50" s="12" t="s">
        <v>120</v>
      </c>
      <c r="G50" s="12" t="s">
        <v>57</v>
      </c>
    </row>
    <row r="51" spans="2:7" ht="16" customHeight="1" x14ac:dyDescent="0.35">
      <c r="B51" s="10" t="s">
        <v>58</v>
      </c>
      <c r="C51" s="11" t="s">
        <v>123</v>
      </c>
      <c r="D51" s="5" t="s">
        <v>60</v>
      </c>
      <c r="E51" s="12" t="s">
        <v>61</v>
      </c>
      <c r="F51" s="12" t="s">
        <v>120</v>
      </c>
      <c r="G51" s="12" t="s">
        <v>62</v>
      </c>
    </row>
    <row r="52" spans="2:7" ht="16" customHeight="1" x14ac:dyDescent="0.35">
      <c r="B52" s="10" t="s">
        <v>63</v>
      </c>
      <c r="C52" s="11" t="s">
        <v>124</v>
      </c>
      <c r="D52" s="5" t="s">
        <v>65</v>
      </c>
      <c r="E52" s="12" t="s">
        <v>61</v>
      </c>
      <c r="F52" s="12" t="s">
        <v>120</v>
      </c>
      <c r="G52" s="12" t="s">
        <v>66</v>
      </c>
    </row>
    <row r="53" spans="2:7" ht="16" customHeight="1" x14ac:dyDescent="0.35">
      <c r="B53" s="10" t="s">
        <v>67</v>
      </c>
      <c r="C53" s="11" t="s">
        <v>125</v>
      </c>
      <c r="D53" s="5" t="s">
        <v>69</v>
      </c>
      <c r="E53" s="12" t="s">
        <v>70</v>
      </c>
      <c r="F53" s="12" t="s">
        <v>120</v>
      </c>
      <c r="G53" s="12" t="s">
        <v>71</v>
      </c>
    </row>
    <row r="54" spans="2:7" ht="16" customHeight="1" x14ac:dyDescent="0.35">
      <c r="B54" s="10" t="s">
        <v>72</v>
      </c>
      <c r="C54" s="11" t="s">
        <v>126</v>
      </c>
      <c r="D54" s="5" t="s">
        <v>74</v>
      </c>
      <c r="E54" s="12" t="s">
        <v>70</v>
      </c>
      <c r="F54" s="12" t="s">
        <v>120</v>
      </c>
      <c r="G54" s="12" t="s">
        <v>75</v>
      </c>
    </row>
    <row r="55" spans="2:7" ht="16" customHeight="1" x14ac:dyDescent="0.35">
      <c r="B55" s="10" t="s">
        <v>127</v>
      </c>
      <c r="C55" s="11" t="s">
        <v>128</v>
      </c>
      <c r="D55" s="5" t="s">
        <v>129</v>
      </c>
      <c r="E55" s="12" t="s">
        <v>52</v>
      </c>
      <c r="F55" s="12" t="s">
        <v>120</v>
      </c>
      <c r="G55" s="12" t="s">
        <v>79</v>
      </c>
    </row>
    <row r="56" spans="2:7" ht="16" customHeight="1" x14ac:dyDescent="0.35">
      <c r="B56" s="10" t="s">
        <v>130</v>
      </c>
      <c r="C56" s="11" t="s">
        <v>131</v>
      </c>
      <c r="D56" s="5" t="s">
        <v>132</v>
      </c>
      <c r="E56" s="12" t="s">
        <v>83</v>
      </c>
      <c r="F56" s="12" t="s">
        <v>120</v>
      </c>
      <c r="G56" s="12" t="s">
        <v>84</v>
      </c>
    </row>
    <row r="57" spans="2:7" ht="16" customHeight="1" x14ac:dyDescent="0.35">
      <c r="B57" s="10" t="s">
        <v>85</v>
      </c>
      <c r="C57" s="11" t="s">
        <v>133</v>
      </c>
      <c r="D57" s="5" t="s">
        <v>87</v>
      </c>
      <c r="E57" s="12" t="s">
        <v>61</v>
      </c>
      <c r="F57" s="12" t="s">
        <v>120</v>
      </c>
      <c r="G57" s="12" t="s">
        <v>88</v>
      </c>
    </row>
    <row r="58" spans="2:7" ht="16" customHeight="1" x14ac:dyDescent="0.35">
      <c r="B58" s="10" t="s">
        <v>89</v>
      </c>
      <c r="C58" s="11" t="s">
        <v>134</v>
      </c>
      <c r="D58" s="5" t="s">
        <v>91</v>
      </c>
      <c r="E58" s="12" t="s">
        <v>92</v>
      </c>
      <c r="F58" s="12" t="s">
        <v>120</v>
      </c>
      <c r="G58" s="12" t="s">
        <v>93</v>
      </c>
    </row>
    <row r="59" spans="2:7" ht="16" customHeight="1" x14ac:dyDescent="0.35">
      <c r="B59" s="10" t="s">
        <v>94</v>
      </c>
      <c r="C59" s="11" t="s">
        <v>135</v>
      </c>
      <c r="D59" s="5" t="s">
        <v>96</v>
      </c>
      <c r="E59" s="12" t="s">
        <v>92</v>
      </c>
      <c r="F59" s="12" t="s">
        <v>120</v>
      </c>
      <c r="G59" s="12" t="s">
        <v>97</v>
      </c>
    </row>
    <row r="60" spans="2:7" ht="16" customHeight="1" x14ac:dyDescent="0.35">
      <c r="B60" s="10" t="s">
        <v>136</v>
      </c>
      <c r="C60" s="11" t="s">
        <v>137</v>
      </c>
      <c r="D60" s="5" t="s">
        <v>138</v>
      </c>
      <c r="E60" s="12" t="s">
        <v>83</v>
      </c>
      <c r="F60" s="12" t="s">
        <v>120</v>
      </c>
      <c r="G60" s="12" t="s">
        <v>101</v>
      </c>
    </row>
    <row r="61" spans="2:7" ht="16" customHeight="1" x14ac:dyDescent="0.35">
      <c r="B61" s="10" t="s">
        <v>102</v>
      </c>
      <c r="C61" s="11" t="s">
        <v>139</v>
      </c>
      <c r="D61" s="5" t="s">
        <v>140</v>
      </c>
      <c r="E61" s="12" t="s">
        <v>83</v>
      </c>
      <c r="F61" s="12" t="s">
        <v>120</v>
      </c>
      <c r="G61" s="12" t="s">
        <v>105</v>
      </c>
    </row>
    <row r="62" spans="2:7" ht="16" customHeight="1" x14ac:dyDescent="0.35">
      <c r="B62" s="10" t="s">
        <v>106</v>
      </c>
      <c r="C62" s="11" t="s">
        <v>141</v>
      </c>
      <c r="D62" s="5" t="s">
        <v>142</v>
      </c>
      <c r="E62" s="12" t="s">
        <v>83</v>
      </c>
      <c r="F62" s="12" t="s">
        <v>120</v>
      </c>
      <c r="G62" s="12" t="s">
        <v>109</v>
      </c>
    </row>
    <row r="63" spans="2:7" ht="16" customHeight="1" x14ac:dyDescent="0.35">
      <c r="B63" s="10" t="s">
        <v>143</v>
      </c>
      <c r="C63" s="11" t="s">
        <v>144</v>
      </c>
      <c r="D63" s="5" t="s">
        <v>145</v>
      </c>
      <c r="E63" s="12" t="s">
        <v>83</v>
      </c>
      <c r="F63" s="12" t="s">
        <v>120</v>
      </c>
      <c r="G63" s="12" t="s">
        <v>113</v>
      </c>
    </row>
    <row r="64" spans="2:7" ht="16" customHeight="1" x14ac:dyDescent="0.35">
      <c r="B64" s="10" t="s">
        <v>146</v>
      </c>
      <c r="C64" s="11" t="s">
        <v>147</v>
      </c>
      <c r="D64" s="5" t="s">
        <v>148</v>
      </c>
      <c r="E64" s="12" t="s">
        <v>83</v>
      </c>
      <c r="F64" s="12" t="s">
        <v>120</v>
      </c>
      <c r="G64" s="12" t="s">
        <v>117</v>
      </c>
    </row>
    <row r="67" spans="2:11" ht="30" customHeight="1" x14ac:dyDescent="0.35">
      <c r="B67" s="39" t="s">
        <v>149</v>
      </c>
      <c r="C67" s="33"/>
      <c r="D67" s="33"/>
      <c r="E67" s="33"/>
      <c r="F67" s="33"/>
      <c r="G67" s="33"/>
      <c r="H67" s="33"/>
      <c r="I67" s="33"/>
      <c r="J67" s="33"/>
      <c r="K67" s="33"/>
    </row>
  </sheetData>
  <mergeCells count="23">
    <mergeCell ref="B67:K67"/>
    <mergeCell ref="C15:K15"/>
    <mergeCell ref="D25:K25"/>
    <mergeCell ref="C14:K14"/>
    <mergeCell ref="A1:L1"/>
    <mergeCell ref="D24:K24"/>
    <mergeCell ref="D23:K23"/>
    <mergeCell ref="A3:L3"/>
    <mergeCell ref="C12:K12"/>
    <mergeCell ref="A2:L2"/>
    <mergeCell ref="C11:K11"/>
    <mergeCell ref="D21:K21"/>
    <mergeCell ref="A5:L5"/>
    <mergeCell ref="B6:K7"/>
    <mergeCell ref="A19:L19"/>
    <mergeCell ref="C13:K13"/>
    <mergeCell ref="A9:L9"/>
    <mergeCell ref="C16:K16"/>
    <mergeCell ref="D26:K26"/>
    <mergeCell ref="C10:K10"/>
    <mergeCell ref="D30"/>
    <mergeCell ref="D22:K22"/>
    <mergeCell ref="A29:L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showGridLines="0" workbookViewId="0">
      <pane ySplit="3" topLeftCell="A4" activePane="bottomLeft" state="frozen"/>
      <selection pane="bottomLeft" activeCell="G12" sqref="G12"/>
    </sheetView>
  </sheetViews>
  <sheetFormatPr defaultColWidth="18.7265625" defaultRowHeight="14.5" x14ac:dyDescent="0.35"/>
  <sheetData>
    <row r="1" spans="1:12" x14ac:dyDescent="0.35">
      <c r="A1" s="40" t="s">
        <v>150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0.5" x14ac:dyDescent="0.35">
      <c r="A2" s="37" t="s">
        <v>151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x14ac:dyDescent="0.35">
      <c r="A3" s="36" t="s">
        <v>152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18" x14ac:dyDescent="0.35">
      <c r="A4" s="38" t="s">
        <v>153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9" x14ac:dyDescent="0.35">
      <c r="B5" s="10" t="s">
        <v>44</v>
      </c>
      <c r="C5" s="5" t="s">
        <v>154</v>
      </c>
      <c r="D5" s="13">
        <v>10000000</v>
      </c>
      <c r="E5" s="12" t="s">
        <v>46</v>
      </c>
    </row>
    <row r="6" spans="1:12" ht="29" x14ac:dyDescent="0.35">
      <c r="B6" s="10" t="s">
        <v>50</v>
      </c>
      <c r="C6" s="5" t="s">
        <v>155</v>
      </c>
      <c r="D6" s="14">
        <v>1.25</v>
      </c>
      <c r="E6" s="12" t="s">
        <v>52</v>
      </c>
    </row>
    <row r="7" spans="1:12" ht="29" x14ac:dyDescent="0.35">
      <c r="B7" s="10" t="s">
        <v>55</v>
      </c>
      <c r="C7" s="5" t="s">
        <v>156</v>
      </c>
      <c r="D7" s="14">
        <v>1.262</v>
      </c>
      <c r="E7" s="12" t="s">
        <v>52</v>
      </c>
    </row>
    <row r="8" spans="1:12" ht="29" x14ac:dyDescent="0.35">
      <c r="B8" s="10" t="s">
        <v>59</v>
      </c>
      <c r="C8" s="5" t="s">
        <v>60</v>
      </c>
      <c r="D8" s="15">
        <v>5.5E-2</v>
      </c>
      <c r="E8" s="12" t="s">
        <v>61</v>
      </c>
    </row>
    <row r="9" spans="1:12" ht="29" x14ac:dyDescent="0.35">
      <c r="B9" s="10" t="s">
        <v>64</v>
      </c>
      <c r="C9" s="5" t="s">
        <v>65</v>
      </c>
      <c r="D9" s="15">
        <v>4.4999999999999998E-2</v>
      </c>
      <c r="E9" s="12" t="s">
        <v>61</v>
      </c>
    </row>
    <row r="10" spans="1:12" x14ac:dyDescent="0.35">
      <c r="B10" s="10" t="s">
        <v>68</v>
      </c>
      <c r="C10" s="5" t="s">
        <v>69</v>
      </c>
      <c r="D10" s="13">
        <v>365</v>
      </c>
      <c r="E10" s="12" t="s">
        <v>70</v>
      </c>
    </row>
    <row r="11" spans="1:12" ht="43.5" x14ac:dyDescent="0.35">
      <c r="B11" s="10" t="s">
        <v>73</v>
      </c>
      <c r="C11" s="5" t="s">
        <v>157</v>
      </c>
      <c r="D11" s="16">
        <v>360</v>
      </c>
      <c r="E11" s="12" t="s">
        <v>70</v>
      </c>
    </row>
    <row r="12" spans="1:12" ht="43.5" x14ac:dyDescent="0.35">
      <c r="B12" s="10" t="s">
        <v>77</v>
      </c>
      <c r="C12" s="5" t="s">
        <v>158</v>
      </c>
      <c r="D12" s="17">
        <f>S0_in_rec</f>
        <v>1.25</v>
      </c>
      <c r="E12" s="12" t="s">
        <v>52</v>
      </c>
    </row>
    <row r="13" spans="1:12" ht="29" x14ac:dyDescent="0.35">
      <c r="B13" s="10" t="s">
        <v>81</v>
      </c>
      <c r="C13" s="5" t="s">
        <v>159</v>
      </c>
      <c r="D13" s="14">
        <v>1.7000000000000001E-2</v>
      </c>
      <c r="E13" s="12" t="s">
        <v>83</v>
      </c>
    </row>
    <row r="14" spans="1:12" ht="29" x14ac:dyDescent="0.35">
      <c r="B14" s="10" t="s">
        <v>86</v>
      </c>
      <c r="C14" s="5" t="s">
        <v>160</v>
      </c>
      <c r="D14" s="18">
        <v>0.01</v>
      </c>
      <c r="E14" s="12" t="s">
        <v>61</v>
      </c>
    </row>
    <row r="16" spans="1:12" ht="18" x14ac:dyDescent="0.35">
      <c r="A16" s="38" t="s">
        <v>161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ht="43.5" x14ac:dyDescent="0.35">
      <c r="B17" s="10" t="s">
        <v>90</v>
      </c>
      <c r="C17" s="5" t="s">
        <v>162</v>
      </c>
      <c r="D17" s="19">
        <f>1+R_USD_rec*T_DAYS_rec/BASIS_rec</f>
        <v>1.0557638888888889</v>
      </c>
      <c r="E17" s="12"/>
    </row>
    <row r="18" spans="1:12" ht="43.5" x14ac:dyDescent="0.35">
      <c r="B18" s="10" t="s">
        <v>95</v>
      </c>
      <c r="C18" s="5" t="s">
        <v>163</v>
      </c>
      <c r="D18" s="19">
        <f>1+R_FC_rec*T_DAYS_rec/BASIS_rec</f>
        <v>1.045625</v>
      </c>
      <c r="E18" s="12"/>
    </row>
    <row r="19" spans="1:12" ht="58" x14ac:dyDescent="0.35">
      <c r="B19" s="10" t="s">
        <v>99</v>
      </c>
      <c r="C19" s="5" t="s">
        <v>164</v>
      </c>
      <c r="D19" s="20">
        <f>-PREM_PUT_rec*FC_AMT_rec*DF_USD_rec</f>
        <v>-179479.86111111112</v>
      </c>
      <c r="E19" s="12"/>
    </row>
    <row r="21" spans="1:12" ht="18" x14ac:dyDescent="0.35">
      <c r="A21" s="38" t="s">
        <v>165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x14ac:dyDescent="0.35">
      <c r="B22" s="2" t="s">
        <v>166</v>
      </c>
      <c r="C22" s="2" t="s">
        <v>167</v>
      </c>
      <c r="D22" s="2" t="s">
        <v>168</v>
      </c>
      <c r="E22" s="2" t="s">
        <v>169</v>
      </c>
    </row>
    <row r="23" spans="1:12" x14ac:dyDescent="0.35">
      <c r="B23" s="5" t="s">
        <v>170</v>
      </c>
      <c r="C23" s="20">
        <f>S0_in_rec*FC_AMT_rec</f>
        <v>12500000</v>
      </c>
      <c r="D23" s="12" t="s">
        <v>171</v>
      </c>
      <c r="E23" s="12" t="s">
        <v>172</v>
      </c>
    </row>
    <row r="24" spans="1:12" x14ac:dyDescent="0.35">
      <c r="B24" s="5" t="s">
        <v>173</v>
      </c>
      <c r="C24" s="20">
        <f>FC_AMT_rec*F0_in_rec</f>
        <v>12620000</v>
      </c>
      <c r="D24" s="12" t="s">
        <v>174</v>
      </c>
      <c r="E24" s="20">
        <f>C24-C23</f>
        <v>120000</v>
      </c>
    </row>
    <row r="25" spans="1:12" x14ac:dyDescent="0.35">
      <c r="B25" s="5" t="s">
        <v>175</v>
      </c>
      <c r="C25" s="20">
        <f>(FC_AMT_rec/DF_FC_rec)*S0_in_rec*DF_USD_rec</f>
        <v>12621206.083549179</v>
      </c>
      <c r="D25" s="12" t="s">
        <v>174</v>
      </c>
      <c r="E25" s="20">
        <f>C25-C23</f>
        <v>121206.08354917914</v>
      </c>
    </row>
    <row r="26" spans="1:12" x14ac:dyDescent="0.35">
      <c r="B26" s="5" t="s">
        <v>176</v>
      </c>
      <c r="C26" s="20">
        <f>MAX(S0_in_rec,K_PUT_rec)*FC_AMT_rec+FV_PREM_PUT_rec</f>
        <v>12320520.138888888</v>
      </c>
      <c r="D26" s="12" t="s">
        <v>171</v>
      </c>
      <c r="E26" s="20">
        <f>C26-C23</f>
        <v>-179479.86111111194</v>
      </c>
    </row>
    <row r="27" spans="1:12" ht="29" x14ac:dyDescent="0.35">
      <c r="B27" s="4" t="s">
        <v>177</v>
      </c>
      <c r="C27" s="21">
        <f>MIN(G33:G43)</f>
        <v>12320520.138888888</v>
      </c>
      <c r="D27" s="12" t="s">
        <v>172</v>
      </c>
      <c r="E27" s="12" t="s">
        <v>172</v>
      </c>
    </row>
    <row r="28" spans="1:12" x14ac:dyDescent="0.35">
      <c r="B28" s="10" t="s">
        <v>178</v>
      </c>
      <c r="C28" s="20">
        <f>USD_MM_rec-USD_FWD_rec</f>
        <v>1206.0835491791368</v>
      </c>
      <c r="D28" s="41" t="s">
        <v>179</v>
      </c>
      <c r="E28" s="42"/>
      <c r="F28" s="42"/>
      <c r="G28" s="43"/>
    </row>
    <row r="30" spans="1:12" ht="18" x14ac:dyDescent="0.35">
      <c r="A30" s="38" t="s">
        <v>180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2" spans="1:12" x14ac:dyDescent="0.35">
      <c r="B32" s="2" t="s">
        <v>181</v>
      </c>
      <c r="C32" s="2" t="s">
        <v>182</v>
      </c>
      <c r="D32" s="2" t="s">
        <v>170</v>
      </c>
      <c r="E32" s="2" t="s">
        <v>173</v>
      </c>
      <c r="F32" s="2" t="s">
        <v>175</v>
      </c>
      <c r="G32" s="2" t="s">
        <v>176</v>
      </c>
      <c r="H32" s="2" t="s">
        <v>183</v>
      </c>
      <c r="I32" s="2" t="s">
        <v>184</v>
      </c>
      <c r="J32" s="2" t="s">
        <v>185</v>
      </c>
      <c r="K32" s="2" t="s">
        <v>186</v>
      </c>
      <c r="L32" s="2" t="s">
        <v>187</v>
      </c>
    </row>
    <row r="33" spans="2:12" x14ac:dyDescent="0.35">
      <c r="B33" s="22">
        <v>-5</v>
      </c>
      <c r="C33" s="19">
        <f t="shared" ref="C33:C43" si="0">$B33*STEP_FRAC_rec*S0_in_rec+S0_in_rec</f>
        <v>1.1875</v>
      </c>
      <c r="D33" s="20">
        <f t="shared" ref="D33:D43" si="1">$C33*FC_AMT_rec</f>
        <v>11875000</v>
      </c>
      <c r="E33" s="20">
        <f t="shared" ref="E33:E43" si="2">USD_FWD_rec</f>
        <v>12620000</v>
      </c>
      <c r="F33" s="20">
        <f t="shared" ref="F33:F43" si="3">USD_MM_rec</f>
        <v>12621206.083549179</v>
      </c>
      <c r="G33" s="20">
        <f t="shared" ref="G33:G43" si="4">MAX($C33,K_PUT_rec)*FC_AMT_rec+FV_PREM_PUT_rec</f>
        <v>12320520.138888888</v>
      </c>
      <c r="H33" s="20">
        <f t="shared" ref="H33:H43" si="5">$E33-$D33</f>
        <v>745000</v>
      </c>
      <c r="I33" s="20">
        <f t="shared" ref="I33:I43" si="6">$F33-$D33</f>
        <v>746206.08354917914</v>
      </c>
      <c r="J33" s="20">
        <f t="shared" ref="J33:J43" si="7">$G33-$D33</f>
        <v>445520.13888888806</v>
      </c>
      <c r="K33" s="23" t="str">
        <f>INDEX({"No Hedge","Forward","Money Market","Option"},MATCH(MAX($D33:$G33),$D33:$G33,0))</f>
        <v>Money Market</v>
      </c>
      <c r="L33" s="24" t="str">
        <f>INDEX({"Forward","Money Market","Option"},MATCH(MAX($E33:$G33),$E33:$G33,0))</f>
        <v>Money Market</v>
      </c>
    </row>
    <row r="34" spans="2:12" x14ac:dyDescent="0.35">
      <c r="B34" s="22">
        <v>-4</v>
      </c>
      <c r="C34" s="19">
        <f t="shared" si="0"/>
        <v>1.2</v>
      </c>
      <c r="D34" s="20">
        <f t="shared" si="1"/>
        <v>12000000</v>
      </c>
      <c r="E34" s="20">
        <f t="shared" si="2"/>
        <v>12620000</v>
      </c>
      <c r="F34" s="20">
        <f t="shared" si="3"/>
        <v>12621206.083549179</v>
      </c>
      <c r="G34" s="20">
        <f t="shared" si="4"/>
        <v>12320520.138888888</v>
      </c>
      <c r="H34" s="20">
        <f t="shared" si="5"/>
        <v>620000</v>
      </c>
      <c r="I34" s="20">
        <f t="shared" si="6"/>
        <v>621206.08354917914</v>
      </c>
      <c r="J34" s="20">
        <f t="shared" si="7"/>
        <v>320520.13888888806</v>
      </c>
      <c r="K34" s="23" t="str">
        <f>INDEX({"No Hedge","Forward","Money Market","Option"},MATCH(MAX($D34:$G34),$D34:$G34,0))</f>
        <v>Money Market</v>
      </c>
      <c r="L34" s="24" t="str">
        <f>INDEX({"Forward","Money Market","Option"},MATCH(MAX($E34:$G34),$E34:$G34,0))</f>
        <v>Money Market</v>
      </c>
    </row>
    <row r="35" spans="2:12" x14ac:dyDescent="0.35">
      <c r="B35" s="22">
        <v>-3</v>
      </c>
      <c r="C35" s="19">
        <f t="shared" si="0"/>
        <v>1.2124999999999999</v>
      </c>
      <c r="D35" s="20">
        <f t="shared" si="1"/>
        <v>12125000</v>
      </c>
      <c r="E35" s="20">
        <f t="shared" si="2"/>
        <v>12620000</v>
      </c>
      <c r="F35" s="20">
        <f t="shared" si="3"/>
        <v>12621206.083549179</v>
      </c>
      <c r="G35" s="20">
        <f t="shared" si="4"/>
        <v>12320520.138888888</v>
      </c>
      <c r="H35" s="20">
        <f t="shared" si="5"/>
        <v>495000</v>
      </c>
      <c r="I35" s="20">
        <f t="shared" si="6"/>
        <v>496206.08354917914</v>
      </c>
      <c r="J35" s="20">
        <f t="shared" si="7"/>
        <v>195520.13888888806</v>
      </c>
      <c r="K35" s="23" t="str">
        <f>INDEX({"No Hedge","Forward","Money Market","Option"},MATCH(MAX($D35:$G35),$D35:$G35,0))</f>
        <v>Money Market</v>
      </c>
      <c r="L35" s="24" t="str">
        <f>INDEX({"Forward","Money Market","Option"},MATCH(MAX($E35:$G35),$E35:$G35,0))</f>
        <v>Money Market</v>
      </c>
    </row>
    <row r="36" spans="2:12" x14ac:dyDescent="0.35">
      <c r="B36" s="22">
        <v>-2</v>
      </c>
      <c r="C36" s="19">
        <f t="shared" si="0"/>
        <v>1.2250000000000001</v>
      </c>
      <c r="D36" s="20">
        <f t="shared" si="1"/>
        <v>12250000</v>
      </c>
      <c r="E36" s="20">
        <f t="shared" si="2"/>
        <v>12620000</v>
      </c>
      <c r="F36" s="20">
        <f t="shared" si="3"/>
        <v>12621206.083549179</v>
      </c>
      <c r="G36" s="20">
        <f t="shared" si="4"/>
        <v>12320520.138888888</v>
      </c>
      <c r="H36" s="20">
        <f t="shared" si="5"/>
        <v>370000</v>
      </c>
      <c r="I36" s="20">
        <f t="shared" si="6"/>
        <v>371206.08354917914</v>
      </c>
      <c r="J36" s="20">
        <f t="shared" si="7"/>
        <v>70520.138888888061</v>
      </c>
      <c r="K36" s="23" t="str">
        <f>INDEX({"No Hedge","Forward","Money Market","Option"},MATCH(MAX($D36:$G36),$D36:$G36,0))</f>
        <v>Money Market</v>
      </c>
      <c r="L36" s="24" t="str">
        <f>INDEX({"Forward","Money Market","Option"},MATCH(MAX($E36:$G36),$E36:$G36,0))</f>
        <v>Money Market</v>
      </c>
    </row>
    <row r="37" spans="2:12" x14ac:dyDescent="0.35">
      <c r="B37" s="22">
        <v>-1</v>
      </c>
      <c r="C37" s="19">
        <f t="shared" si="0"/>
        <v>1.2375</v>
      </c>
      <c r="D37" s="20">
        <f t="shared" si="1"/>
        <v>12375000</v>
      </c>
      <c r="E37" s="20">
        <f t="shared" si="2"/>
        <v>12620000</v>
      </c>
      <c r="F37" s="20">
        <f t="shared" si="3"/>
        <v>12621206.083549179</v>
      </c>
      <c r="G37" s="20">
        <f t="shared" si="4"/>
        <v>12320520.138888888</v>
      </c>
      <c r="H37" s="20">
        <f t="shared" si="5"/>
        <v>245000</v>
      </c>
      <c r="I37" s="20">
        <f t="shared" si="6"/>
        <v>246206.08354917914</v>
      </c>
      <c r="J37" s="20">
        <f t="shared" si="7"/>
        <v>-54479.861111111939</v>
      </c>
      <c r="K37" s="23" t="str">
        <f>INDEX({"No Hedge","Forward","Money Market","Option"},MATCH(MAX($D37:$G37),$D37:$G37,0))</f>
        <v>Money Market</v>
      </c>
      <c r="L37" s="24" t="str">
        <f>INDEX({"Forward","Money Market","Option"},MATCH(MAX($E37:$G37),$E37:$G37,0))</f>
        <v>Money Market</v>
      </c>
    </row>
    <row r="38" spans="2:12" x14ac:dyDescent="0.35">
      <c r="B38" s="25">
        <v>0</v>
      </c>
      <c r="C38" s="26">
        <f t="shared" si="0"/>
        <v>1.25</v>
      </c>
      <c r="D38" s="27">
        <f t="shared" si="1"/>
        <v>12500000</v>
      </c>
      <c r="E38" s="27">
        <f t="shared" si="2"/>
        <v>12620000</v>
      </c>
      <c r="F38" s="27">
        <f t="shared" si="3"/>
        <v>12621206.083549179</v>
      </c>
      <c r="G38" s="27">
        <f t="shared" si="4"/>
        <v>12320520.138888888</v>
      </c>
      <c r="H38" s="27">
        <f t="shared" si="5"/>
        <v>120000</v>
      </c>
      <c r="I38" s="27">
        <f t="shared" si="6"/>
        <v>121206.08354917914</v>
      </c>
      <c r="J38" s="27">
        <f t="shared" si="7"/>
        <v>-179479.86111111194</v>
      </c>
      <c r="K38" s="28" t="str">
        <f>INDEX({"No Hedge","Forward","Money Market","Option"},MATCH(MAX($D38:$G38),$D38:$G38,0))</f>
        <v>Money Market</v>
      </c>
      <c r="L38" s="29" t="str">
        <f>INDEX({"Forward","Money Market","Option"},MATCH(MAX($E38:$G38),$E38:$G38,0))</f>
        <v>Money Market</v>
      </c>
    </row>
    <row r="39" spans="2:12" x14ac:dyDescent="0.35">
      <c r="B39" s="22">
        <v>1</v>
      </c>
      <c r="C39" s="19">
        <f t="shared" si="0"/>
        <v>1.2625</v>
      </c>
      <c r="D39" s="20">
        <f t="shared" si="1"/>
        <v>12625000</v>
      </c>
      <c r="E39" s="20">
        <f t="shared" si="2"/>
        <v>12620000</v>
      </c>
      <c r="F39" s="20">
        <f t="shared" si="3"/>
        <v>12621206.083549179</v>
      </c>
      <c r="G39" s="20">
        <f t="shared" si="4"/>
        <v>12445520.138888888</v>
      </c>
      <c r="H39" s="20">
        <f t="shared" si="5"/>
        <v>-5000</v>
      </c>
      <c r="I39" s="20">
        <f t="shared" si="6"/>
        <v>-3793.9164508208632</v>
      </c>
      <c r="J39" s="20">
        <f t="shared" si="7"/>
        <v>-179479.86111111194</v>
      </c>
      <c r="K39" s="23" t="str">
        <f>INDEX({"No Hedge","Forward","Money Market","Option"},MATCH(MAX($D39:$G39),$D39:$G39,0))</f>
        <v>No Hedge</v>
      </c>
      <c r="L39" s="24" t="str">
        <f>INDEX({"Forward","Money Market","Option"},MATCH(MAX($E39:$G39),$E39:$G39,0))</f>
        <v>Money Market</v>
      </c>
    </row>
    <row r="40" spans="2:12" x14ac:dyDescent="0.35">
      <c r="B40" s="22">
        <v>2</v>
      </c>
      <c r="C40" s="19">
        <f t="shared" si="0"/>
        <v>1.2749999999999999</v>
      </c>
      <c r="D40" s="20">
        <f t="shared" si="1"/>
        <v>12750000</v>
      </c>
      <c r="E40" s="20">
        <f t="shared" si="2"/>
        <v>12620000</v>
      </c>
      <c r="F40" s="20">
        <f t="shared" si="3"/>
        <v>12621206.083549179</v>
      </c>
      <c r="G40" s="20">
        <f t="shared" si="4"/>
        <v>12570520.138888888</v>
      </c>
      <c r="H40" s="20">
        <f t="shared" si="5"/>
        <v>-130000</v>
      </c>
      <c r="I40" s="20">
        <f t="shared" si="6"/>
        <v>-128793.91645082086</v>
      </c>
      <c r="J40" s="20">
        <f t="shared" si="7"/>
        <v>-179479.86111111194</v>
      </c>
      <c r="K40" s="23" t="str">
        <f>INDEX({"No Hedge","Forward","Money Market","Option"},MATCH(MAX($D40:$G40),$D40:$G40,0))</f>
        <v>No Hedge</v>
      </c>
      <c r="L40" s="24" t="str">
        <f>INDEX({"Forward","Money Market","Option"},MATCH(MAX($E40:$G40),$E40:$G40,0))</f>
        <v>Money Market</v>
      </c>
    </row>
    <row r="41" spans="2:12" x14ac:dyDescent="0.35">
      <c r="B41" s="22">
        <v>3</v>
      </c>
      <c r="C41" s="19">
        <f t="shared" si="0"/>
        <v>1.2875000000000001</v>
      </c>
      <c r="D41" s="20">
        <f t="shared" si="1"/>
        <v>12875000</v>
      </c>
      <c r="E41" s="20">
        <f t="shared" si="2"/>
        <v>12620000</v>
      </c>
      <c r="F41" s="20">
        <f t="shared" si="3"/>
        <v>12621206.083549179</v>
      </c>
      <c r="G41" s="20">
        <f t="shared" si="4"/>
        <v>12695520.138888888</v>
      </c>
      <c r="H41" s="20">
        <f t="shared" si="5"/>
        <v>-255000</v>
      </c>
      <c r="I41" s="20">
        <f t="shared" si="6"/>
        <v>-253793.91645082086</v>
      </c>
      <c r="J41" s="20">
        <f t="shared" si="7"/>
        <v>-179479.86111111194</v>
      </c>
      <c r="K41" s="23" t="str">
        <f>INDEX({"No Hedge","Forward","Money Market","Option"},MATCH(MAX($D41:$G41),$D41:$G41,0))</f>
        <v>No Hedge</v>
      </c>
      <c r="L41" s="24" t="str">
        <f>INDEX({"Forward","Money Market","Option"},MATCH(MAX($E41:$G41),$E41:$G41,0))</f>
        <v>Option</v>
      </c>
    </row>
    <row r="42" spans="2:12" x14ac:dyDescent="0.35">
      <c r="B42" s="22">
        <v>4</v>
      </c>
      <c r="C42" s="19">
        <f t="shared" si="0"/>
        <v>1.3</v>
      </c>
      <c r="D42" s="20">
        <f t="shared" si="1"/>
        <v>13000000</v>
      </c>
      <c r="E42" s="20">
        <f t="shared" si="2"/>
        <v>12620000</v>
      </c>
      <c r="F42" s="20">
        <f t="shared" si="3"/>
        <v>12621206.083549179</v>
      </c>
      <c r="G42" s="20">
        <f t="shared" si="4"/>
        <v>12820520.138888888</v>
      </c>
      <c r="H42" s="20">
        <f t="shared" si="5"/>
        <v>-380000</v>
      </c>
      <c r="I42" s="20">
        <f t="shared" si="6"/>
        <v>-378793.91645082086</v>
      </c>
      <c r="J42" s="20">
        <f t="shared" si="7"/>
        <v>-179479.86111111194</v>
      </c>
      <c r="K42" s="23" t="str">
        <f>INDEX({"No Hedge","Forward","Money Market","Option"},MATCH(MAX($D42:$G42),$D42:$G42,0))</f>
        <v>No Hedge</v>
      </c>
      <c r="L42" s="24" t="str">
        <f>INDEX({"Forward","Money Market","Option"},MATCH(MAX($E42:$G42),$E42:$G42,0))</f>
        <v>Option</v>
      </c>
    </row>
    <row r="43" spans="2:12" x14ac:dyDescent="0.35">
      <c r="B43" s="22">
        <v>5</v>
      </c>
      <c r="C43" s="19">
        <f t="shared" si="0"/>
        <v>1.3125</v>
      </c>
      <c r="D43" s="20">
        <f t="shared" si="1"/>
        <v>13125000</v>
      </c>
      <c r="E43" s="20">
        <f t="shared" si="2"/>
        <v>12620000</v>
      </c>
      <c r="F43" s="20">
        <f t="shared" si="3"/>
        <v>12621206.083549179</v>
      </c>
      <c r="G43" s="20">
        <f t="shared" si="4"/>
        <v>12945520.138888888</v>
      </c>
      <c r="H43" s="20">
        <f t="shared" si="5"/>
        <v>-505000</v>
      </c>
      <c r="I43" s="20">
        <f t="shared" si="6"/>
        <v>-503793.91645082086</v>
      </c>
      <c r="J43" s="20">
        <f t="shared" si="7"/>
        <v>-179479.86111111194</v>
      </c>
      <c r="K43" s="23" t="str">
        <f>INDEX({"No Hedge","Forward","Money Market","Option"},MATCH(MAX($D43:$G43),$D43:$G43,0))</f>
        <v>No Hedge</v>
      </c>
      <c r="L43" s="24" t="str">
        <f>INDEX({"Forward","Money Market","Option"},MATCH(MAX($E43:$G43),$E43:$G43,0))</f>
        <v>Option</v>
      </c>
    </row>
  </sheetData>
  <mergeCells count="8">
    <mergeCell ref="A30:L30"/>
    <mergeCell ref="A2:L2"/>
    <mergeCell ref="A16:L16"/>
    <mergeCell ref="A1:L1"/>
    <mergeCell ref="A3:L3"/>
    <mergeCell ref="A21:L21"/>
    <mergeCell ref="D28:G28"/>
    <mergeCell ref="A4:L4"/>
  </mergeCells>
  <conditionalFormatting sqref="D33:G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3:J43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"/>
  <sheetViews>
    <sheetView showGridLines="0" workbookViewId="0">
      <pane ySplit="3" topLeftCell="A4" activePane="bottomLeft" state="frozen"/>
      <selection pane="bottomLeft"/>
    </sheetView>
  </sheetViews>
  <sheetFormatPr defaultRowHeight="14.5" x14ac:dyDescent="0.35"/>
  <cols>
    <col min="1" max="1" width="2" customWidth="1"/>
    <col min="2" max="2" width="4" customWidth="1"/>
    <col min="3" max="3" width="38" customWidth="1"/>
    <col min="4" max="4" width="15" customWidth="1"/>
    <col min="5" max="5" width="12" customWidth="1"/>
    <col min="6" max="11" width="14" customWidth="1"/>
    <col min="12" max="12" width="16" customWidth="1"/>
    <col min="13" max="13" width="2" customWidth="1"/>
  </cols>
  <sheetData>
    <row r="1" spans="1:12" ht="22" customHeight="1" x14ac:dyDescent="0.35">
      <c r="A1" s="40" t="s">
        <v>150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4" customHeight="1" x14ac:dyDescent="0.35">
      <c r="A2" s="37" t="s">
        <v>188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18" customHeight="1" x14ac:dyDescent="0.35">
      <c r="A3" s="36" t="s">
        <v>189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20" customHeight="1" x14ac:dyDescent="0.35">
      <c r="A4" s="38" t="s">
        <v>153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58" x14ac:dyDescent="0.35">
      <c r="B5" s="10" t="s">
        <v>118</v>
      </c>
      <c r="C5" s="5" t="s">
        <v>154</v>
      </c>
      <c r="D5" s="13">
        <v>5000000</v>
      </c>
      <c r="E5" s="12" t="s">
        <v>46</v>
      </c>
    </row>
    <row r="6" spans="1:12" ht="58" x14ac:dyDescent="0.35">
      <c r="B6" s="10" t="s">
        <v>121</v>
      </c>
      <c r="C6" s="5" t="s">
        <v>155</v>
      </c>
      <c r="D6" s="14">
        <v>1.25</v>
      </c>
      <c r="E6" s="12" t="s">
        <v>52</v>
      </c>
    </row>
    <row r="7" spans="1:12" ht="58" x14ac:dyDescent="0.35">
      <c r="B7" s="10" t="s">
        <v>122</v>
      </c>
      <c r="C7" s="5" t="s">
        <v>156</v>
      </c>
      <c r="D7" s="14">
        <v>1.262</v>
      </c>
      <c r="E7" s="12" t="s">
        <v>52</v>
      </c>
    </row>
    <row r="8" spans="1:12" ht="72.5" x14ac:dyDescent="0.35">
      <c r="B8" s="10" t="s">
        <v>123</v>
      </c>
      <c r="C8" s="5" t="s">
        <v>60</v>
      </c>
      <c r="D8" s="15">
        <v>5.5E-2</v>
      </c>
      <c r="E8" s="12" t="s">
        <v>61</v>
      </c>
    </row>
    <row r="9" spans="1:12" ht="43.5" x14ac:dyDescent="0.35">
      <c r="B9" s="10" t="s">
        <v>124</v>
      </c>
      <c r="C9" s="5" t="s">
        <v>65</v>
      </c>
      <c r="D9" s="15">
        <v>4.4999999999999998E-2</v>
      </c>
      <c r="E9" s="12" t="s">
        <v>61</v>
      </c>
    </row>
    <row r="10" spans="1:12" ht="58" x14ac:dyDescent="0.35">
      <c r="B10" s="10" t="s">
        <v>125</v>
      </c>
      <c r="C10" s="5" t="s">
        <v>69</v>
      </c>
      <c r="D10" s="13">
        <v>365</v>
      </c>
      <c r="E10" s="12" t="s">
        <v>70</v>
      </c>
    </row>
    <row r="11" spans="1:12" ht="58" x14ac:dyDescent="0.35">
      <c r="B11" s="10" t="s">
        <v>126</v>
      </c>
      <c r="C11" s="5" t="s">
        <v>157</v>
      </c>
      <c r="D11" s="16">
        <v>360</v>
      </c>
      <c r="E11" s="12" t="s">
        <v>70</v>
      </c>
    </row>
    <row r="12" spans="1:12" ht="58" x14ac:dyDescent="0.35">
      <c r="B12" s="10" t="s">
        <v>128</v>
      </c>
      <c r="C12" s="5" t="s">
        <v>190</v>
      </c>
      <c r="D12" s="17">
        <f>S0_in_pay</f>
        <v>1.25</v>
      </c>
      <c r="E12" s="12" t="s">
        <v>52</v>
      </c>
    </row>
    <row r="13" spans="1:12" ht="87" x14ac:dyDescent="0.35">
      <c r="B13" s="10" t="s">
        <v>131</v>
      </c>
      <c r="C13" s="5" t="s">
        <v>159</v>
      </c>
      <c r="D13" s="14">
        <v>2.1000000000000001E-2</v>
      </c>
      <c r="E13" s="12" t="s">
        <v>83</v>
      </c>
    </row>
    <row r="14" spans="1:12" ht="72.5" x14ac:dyDescent="0.35">
      <c r="B14" s="10" t="s">
        <v>133</v>
      </c>
      <c r="C14" s="5" t="s">
        <v>160</v>
      </c>
      <c r="D14" s="18">
        <v>0.01</v>
      </c>
      <c r="E14" s="12" t="s">
        <v>61</v>
      </c>
    </row>
    <row r="16" spans="1:12" ht="20" customHeight="1" x14ac:dyDescent="0.35">
      <c r="A16" s="38" t="s">
        <v>161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ht="72.5" x14ac:dyDescent="0.35">
      <c r="B17" s="10" t="s">
        <v>134</v>
      </c>
      <c r="C17" s="5" t="s">
        <v>162</v>
      </c>
      <c r="D17" s="19">
        <f>1+R_USD_pay*T_DAYS_pay/BASIS_pay</f>
        <v>1.0557638888888889</v>
      </c>
      <c r="E17" s="12"/>
    </row>
    <row r="18" spans="1:12" ht="58" x14ac:dyDescent="0.35">
      <c r="B18" s="10" t="s">
        <v>135</v>
      </c>
      <c r="C18" s="5" t="s">
        <v>163</v>
      </c>
      <c r="D18" s="19">
        <f>1+R_FC_pay*T_DAYS_pay/BASIS_pay</f>
        <v>1.045625</v>
      </c>
      <c r="E18" s="12"/>
    </row>
    <row r="19" spans="1:12" ht="101.5" x14ac:dyDescent="0.35">
      <c r="B19" s="10" t="s">
        <v>137</v>
      </c>
      <c r="C19" s="5" t="s">
        <v>191</v>
      </c>
      <c r="D19" s="20">
        <f>-PREM_CALL_pay*FC_AMT_pay*DF_USD_pay</f>
        <v>-110855.20833333334</v>
      </c>
      <c r="E19" s="12"/>
    </row>
    <row r="21" spans="1:12" ht="20" customHeight="1" x14ac:dyDescent="0.35">
      <c r="A21" s="38" t="s">
        <v>165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1:12" ht="20" customHeight="1" x14ac:dyDescent="0.35">
      <c r="B22" s="2" t="s">
        <v>166</v>
      </c>
      <c r="C22" s="2" t="s">
        <v>192</v>
      </c>
      <c r="D22" s="2" t="s">
        <v>168</v>
      </c>
      <c r="E22" s="2" t="s">
        <v>169</v>
      </c>
    </row>
    <row r="23" spans="1:12" ht="43.5" x14ac:dyDescent="0.35">
      <c r="B23" s="5" t="s">
        <v>170</v>
      </c>
      <c r="C23" s="20">
        <f>S0_in_pay*FC_AMT_pay</f>
        <v>6250000</v>
      </c>
      <c r="D23" s="12" t="s">
        <v>171</v>
      </c>
      <c r="E23" s="12" t="s">
        <v>172</v>
      </c>
    </row>
    <row r="24" spans="1:12" ht="43.5" x14ac:dyDescent="0.35">
      <c r="B24" s="5" t="s">
        <v>173</v>
      </c>
      <c r="C24" s="20">
        <f>FC_AMT_pay*F0_in_pay</f>
        <v>6310000</v>
      </c>
      <c r="D24" s="12" t="s">
        <v>174</v>
      </c>
      <c r="E24" s="20">
        <f>C23-C24</f>
        <v>-60000</v>
      </c>
    </row>
    <row r="25" spans="1:12" ht="87" x14ac:dyDescent="0.35">
      <c r="B25" s="5" t="s">
        <v>175</v>
      </c>
      <c r="C25" s="20">
        <f>(FC_AMT_pay/DF_FC_pay)*S0_in_pay*DF_USD_pay</f>
        <v>6310603.0417745896</v>
      </c>
      <c r="D25" s="12" t="s">
        <v>174</v>
      </c>
      <c r="E25" s="20">
        <f>C23-C25</f>
        <v>-60603.041774589568</v>
      </c>
    </row>
    <row r="26" spans="1:12" ht="58" x14ac:dyDescent="0.35">
      <c r="B26" s="5" t="s">
        <v>193</v>
      </c>
      <c r="C26" s="20">
        <f>MIN(S0_in_pay,K_CALL_pay)*FC_AMT_pay-FV_PREM_CALL_pay</f>
        <v>6360855.208333333</v>
      </c>
      <c r="D26" s="12" t="s">
        <v>171</v>
      </c>
      <c r="E26" s="20">
        <f>C23-C26</f>
        <v>-110855.20833333302</v>
      </c>
    </row>
    <row r="27" spans="1:12" ht="145" x14ac:dyDescent="0.35">
      <c r="B27" s="4" t="s">
        <v>194</v>
      </c>
      <c r="C27" s="21">
        <f>MAX(G33:G43)</f>
        <v>6360855.208333333</v>
      </c>
      <c r="D27" s="12" t="s">
        <v>172</v>
      </c>
      <c r="E27" s="12" t="s">
        <v>172</v>
      </c>
    </row>
    <row r="28" spans="1:12" ht="58" x14ac:dyDescent="0.35">
      <c r="B28" s="10" t="s">
        <v>178</v>
      </c>
      <c r="C28" s="20">
        <f>USD_MM_pay-USD_FWD_pay</f>
        <v>603.04177458956838</v>
      </c>
      <c r="D28" s="41" t="s">
        <v>179</v>
      </c>
      <c r="E28" s="42"/>
      <c r="F28" s="42"/>
      <c r="G28" s="43"/>
    </row>
    <row r="30" spans="1:12" ht="20" customHeight="1" x14ac:dyDescent="0.35">
      <c r="A30" s="38" t="s">
        <v>195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</row>
    <row r="32" spans="1:12" ht="28" customHeight="1" x14ac:dyDescent="0.35">
      <c r="B32" s="2" t="s">
        <v>181</v>
      </c>
      <c r="C32" s="2" t="s">
        <v>182</v>
      </c>
      <c r="D32" s="2" t="s">
        <v>170</v>
      </c>
      <c r="E32" s="2" t="s">
        <v>173</v>
      </c>
      <c r="F32" s="2" t="s">
        <v>175</v>
      </c>
      <c r="G32" s="2" t="s">
        <v>193</v>
      </c>
      <c r="H32" s="2" t="s">
        <v>183</v>
      </c>
      <c r="I32" s="2" t="s">
        <v>184</v>
      </c>
      <c r="J32" s="2" t="s">
        <v>185</v>
      </c>
      <c r="K32" s="2" t="s">
        <v>186</v>
      </c>
      <c r="L32" s="2" t="s">
        <v>187</v>
      </c>
    </row>
    <row r="33" spans="2:12" x14ac:dyDescent="0.35">
      <c r="B33" s="22">
        <v>-5</v>
      </c>
      <c r="C33" s="19">
        <f t="shared" ref="C33:C43" si="0">$B33*STEP_FRAC_pay*S0_in_pay+S0_in_pay</f>
        <v>1.1875</v>
      </c>
      <c r="D33" s="20">
        <f t="shared" ref="D33:D43" si="1">$C33*FC_AMT_pay</f>
        <v>5937500</v>
      </c>
      <c r="E33" s="20">
        <f t="shared" ref="E33:E43" si="2">USD_FWD_pay</f>
        <v>6310000</v>
      </c>
      <c r="F33" s="20">
        <f t="shared" ref="F33:F43" si="3">USD_MM_pay</f>
        <v>6310603.0417745896</v>
      </c>
      <c r="G33" s="20">
        <f t="shared" ref="G33:G43" si="4">MIN($C33,K_CALL_pay)*FC_AMT_pay-FV_PREM_CALL_pay</f>
        <v>6048355.208333333</v>
      </c>
      <c r="H33" s="20">
        <f t="shared" ref="H33:H43" si="5">$D33-$E33</f>
        <v>-372500</v>
      </c>
      <c r="I33" s="20">
        <f t="shared" ref="I33:I43" si="6">$D33-$F33</f>
        <v>-373103.04177458957</v>
      </c>
      <c r="J33" s="20">
        <f t="shared" ref="J33:J43" si="7">$D33-$G33</f>
        <v>-110855.20833333302</v>
      </c>
      <c r="K33" s="23" t="str">
        <f>INDEX({"No Hedge","Forward","Money Market","Option"},MATCH(MIN($D33:$G33),$D33:$G33,0))</f>
        <v>No Hedge</v>
      </c>
      <c r="L33" s="24" t="str">
        <f>INDEX({"Forward","Money Market","Option"},MATCH(MIN($E33:$G33),$E33:$G33,0))</f>
        <v>Option</v>
      </c>
    </row>
    <row r="34" spans="2:12" x14ac:dyDescent="0.35">
      <c r="B34" s="22">
        <v>-4</v>
      </c>
      <c r="C34" s="19">
        <f t="shared" si="0"/>
        <v>1.2</v>
      </c>
      <c r="D34" s="20">
        <f t="shared" si="1"/>
        <v>6000000</v>
      </c>
      <c r="E34" s="20">
        <f t="shared" si="2"/>
        <v>6310000</v>
      </c>
      <c r="F34" s="20">
        <f t="shared" si="3"/>
        <v>6310603.0417745896</v>
      </c>
      <c r="G34" s="20">
        <f t="shared" si="4"/>
        <v>6110855.208333333</v>
      </c>
      <c r="H34" s="20">
        <f t="shared" si="5"/>
        <v>-310000</v>
      </c>
      <c r="I34" s="20">
        <f t="shared" si="6"/>
        <v>-310603.04177458957</v>
      </c>
      <c r="J34" s="20">
        <f t="shared" si="7"/>
        <v>-110855.20833333302</v>
      </c>
      <c r="K34" s="23" t="str">
        <f>INDEX({"No Hedge","Forward","Money Market","Option"},MATCH(MIN($D34:$G34),$D34:$G34,0))</f>
        <v>No Hedge</v>
      </c>
      <c r="L34" s="24" t="str">
        <f>INDEX({"Forward","Money Market","Option"},MATCH(MIN($E34:$G34),$E34:$G34,0))</f>
        <v>Option</v>
      </c>
    </row>
    <row r="35" spans="2:12" x14ac:dyDescent="0.35">
      <c r="B35" s="22">
        <v>-3</v>
      </c>
      <c r="C35" s="19">
        <f t="shared" si="0"/>
        <v>1.2124999999999999</v>
      </c>
      <c r="D35" s="20">
        <f t="shared" si="1"/>
        <v>6062500</v>
      </c>
      <c r="E35" s="20">
        <f t="shared" si="2"/>
        <v>6310000</v>
      </c>
      <c r="F35" s="20">
        <f t="shared" si="3"/>
        <v>6310603.0417745896</v>
      </c>
      <c r="G35" s="20">
        <f t="shared" si="4"/>
        <v>6173355.208333333</v>
      </c>
      <c r="H35" s="20">
        <f t="shared" si="5"/>
        <v>-247500</v>
      </c>
      <c r="I35" s="20">
        <f t="shared" si="6"/>
        <v>-248103.04177458957</v>
      </c>
      <c r="J35" s="20">
        <f t="shared" si="7"/>
        <v>-110855.20833333302</v>
      </c>
      <c r="K35" s="23" t="str">
        <f>INDEX({"No Hedge","Forward","Money Market","Option"},MATCH(MIN($D35:$G35),$D35:$G35,0))</f>
        <v>No Hedge</v>
      </c>
      <c r="L35" s="24" t="str">
        <f>INDEX({"Forward","Money Market","Option"},MATCH(MIN($E35:$G35),$E35:$G35,0))</f>
        <v>Option</v>
      </c>
    </row>
    <row r="36" spans="2:12" x14ac:dyDescent="0.35">
      <c r="B36" s="22">
        <v>-2</v>
      </c>
      <c r="C36" s="19">
        <f t="shared" si="0"/>
        <v>1.2250000000000001</v>
      </c>
      <c r="D36" s="20">
        <f t="shared" si="1"/>
        <v>6125000</v>
      </c>
      <c r="E36" s="20">
        <f t="shared" si="2"/>
        <v>6310000</v>
      </c>
      <c r="F36" s="20">
        <f t="shared" si="3"/>
        <v>6310603.0417745896</v>
      </c>
      <c r="G36" s="20">
        <f t="shared" si="4"/>
        <v>6235855.208333333</v>
      </c>
      <c r="H36" s="20">
        <f t="shared" si="5"/>
        <v>-185000</v>
      </c>
      <c r="I36" s="20">
        <f t="shared" si="6"/>
        <v>-185603.04177458957</v>
      </c>
      <c r="J36" s="20">
        <f t="shared" si="7"/>
        <v>-110855.20833333302</v>
      </c>
      <c r="K36" s="23" t="str">
        <f>INDEX({"No Hedge","Forward","Money Market","Option"},MATCH(MIN($D36:$G36),$D36:$G36,0))</f>
        <v>No Hedge</v>
      </c>
      <c r="L36" s="24" t="str">
        <f>INDEX({"Forward","Money Market","Option"},MATCH(MIN($E36:$G36),$E36:$G36,0))</f>
        <v>Option</v>
      </c>
    </row>
    <row r="37" spans="2:12" x14ac:dyDescent="0.35">
      <c r="B37" s="22">
        <v>-1</v>
      </c>
      <c r="C37" s="19">
        <f t="shared" si="0"/>
        <v>1.2375</v>
      </c>
      <c r="D37" s="20">
        <f t="shared" si="1"/>
        <v>6187500</v>
      </c>
      <c r="E37" s="20">
        <f t="shared" si="2"/>
        <v>6310000</v>
      </c>
      <c r="F37" s="20">
        <f t="shared" si="3"/>
        <v>6310603.0417745896</v>
      </c>
      <c r="G37" s="20">
        <f t="shared" si="4"/>
        <v>6298355.208333333</v>
      </c>
      <c r="H37" s="20">
        <f t="shared" si="5"/>
        <v>-122500</v>
      </c>
      <c r="I37" s="20">
        <f t="shared" si="6"/>
        <v>-123103.04177458957</v>
      </c>
      <c r="J37" s="20">
        <f t="shared" si="7"/>
        <v>-110855.20833333302</v>
      </c>
      <c r="K37" s="23" t="str">
        <f>INDEX({"No Hedge","Forward","Money Market","Option"},MATCH(MIN($D37:$G37),$D37:$G37,0))</f>
        <v>No Hedge</v>
      </c>
      <c r="L37" s="24" t="str">
        <f>INDEX({"Forward","Money Market","Option"},MATCH(MIN($E37:$G37),$E37:$G37,0))</f>
        <v>Option</v>
      </c>
    </row>
    <row r="38" spans="2:12" x14ac:dyDescent="0.35">
      <c r="B38" s="25">
        <v>0</v>
      </c>
      <c r="C38" s="26">
        <f t="shared" si="0"/>
        <v>1.25</v>
      </c>
      <c r="D38" s="27">
        <f t="shared" si="1"/>
        <v>6250000</v>
      </c>
      <c r="E38" s="27">
        <f t="shared" si="2"/>
        <v>6310000</v>
      </c>
      <c r="F38" s="27">
        <f t="shared" si="3"/>
        <v>6310603.0417745896</v>
      </c>
      <c r="G38" s="27">
        <f t="shared" si="4"/>
        <v>6360855.208333333</v>
      </c>
      <c r="H38" s="27">
        <f t="shared" si="5"/>
        <v>-60000</v>
      </c>
      <c r="I38" s="27">
        <f t="shared" si="6"/>
        <v>-60603.041774589568</v>
      </c>
      <c r="J38" s="27">
        <f t="shared" si="7"/>
        <v>-110855.20833333302</v>
      </c>
      <c r="K38" s="28" t="str">
        <f>INDEX({"No Hedge","Forward","Money Market","Option"},MATCH(MIN($D38:$G38),$D38:$G38,0))</f>
        <v>No Hedge</v>
      </c>
      <c r="L38" s="29" t="str">
        <f>INDEX({"Forward","Money Market","Option"},MATCH(MIN($E38:$G38),$E38:$G38,0))</f>
        <v>Forward</v>
      </c>
    </row>
    <row r="39" spans="2:12" x14ac:dyDescent="0.35">
      <c r="B39" s="22">
        <v>1</v>
      </c>
      <c r="C39" s="19">
        <f t="shared" si="0"/>
        <v>1.2625</v>
      </c>
      <c r="D39" s="20">
        <f t="shared" si="1"/>
        <v>6312500</v>
      </c>
      <c r="E39" s="20">
        <f t="shared" si="2"/>
        <v>6310000</v>
      </c>
      <c r="F39" s="20">
        <f t="shared" si="3"/>
        <v>6310603.0417745896</v>
      </c>
      <c r="G39" s="20">
        <f t="shared" si="4"/>
        <v>6360855.208333333</v>
      </c>
      <c r="H39" s="20">
        <f t="shared" si="5"/>
        <v>2500</v>
      </c>
      <c r="I39" s="20">
        <f t="shared" si="6"/>
        <v>1896.9582254104316</v>
      </c>
      <c r="J39" s="20">
        <f t="shared" si="7"/>
        <v>-48355.208333333023</v>
      </c>
      <c r="K39" s="23" t="str">
        <f>INDEX({"No Hedge","Forward","Money Market","Option"},MATCH(MIN($D39:$G39),$D39:$G39,0))</f>
        <v>Forward</v>
      </c>
      <c r="L39" s="24" t="str">
        <f>INDEX({"Forward","Money Market","Option"},MATCH(MIN($E39:$G39),$E39:$G39,0))</f>
        <v>Forward</v>
      </c>
    </row>
    <row r="40" spans="2:12" x14ac:dyDescent="0.35">
      <c r="B40" s="22">
        <v>2</v>
      </c>
      <c r="C40" s="19">
        <f t="shared" si="0"/>
        <v>1.2749999999999999</v>
      </c>
      <c r="D40" s="20">
        <f t="shared" si="1"/>
        <v>6375000</v>
      </c>
      <c r="E40" s="20">
        <f t="shared" si="2"/>
        <v>6310000</v>
      </c>
      <c r="F40" s="20">
        <f t="shared" si="3"/>
        <v>6310603.0417745896</v>
      </c>
      <c r="G40" s="20">
        <f t="shared" si="4"/>
        <v>6360855.208333333</v>
      </c>
      <c r="H40" s="20">
        <f t="shared" si="5"/>
        <v>65000</v>
      </c>
      <c r="I40" s="20">
        <f t="shared" si="6"/>
        <v>64396.958225410432</v>
      </c>
      <c r="J40" s="20">
        <f t="shared" si="7"/>
        <v>14144.791666666977</v>
      </c>
      <c r="K40" s="23" t="str">
        <f>INDEX({"No Hedge","Forward","Money Market","Option"},MATCH(MIN($D40:$G40),$D40:$G40,0))</f>
        <v>Forward</v>
      </c>
      <c r="L40" s="24" t="str">
        <f>INDEX({"Forward","Money Market","Option"},MATCH(MIN($E40:$G40),$E40:$G40,0))</f>
        <v>Forward</v>
      </c>
    </row>
    <row r="41" spans="2:12" x14ac:dyDescent="0.35">
      <c r="B41" s="22">
        <v>3</v>
      </c>
      <c r="C41" s="19">
        <f t="shared" si="0"/>
        <v>1.2875000000000001</v>
      </c>
      <c r="D41" s="20">
        <f t="shared" si="1"/>
        <v>6437500</v>
      </c>
      <c r="E41" s="20">
        <f t="shared" si="2"/>
        <v>6310000</v>
      </c>
      <c r="F41" s="20">
        <f t="shared" si="3"/>
        <v>6310603.0417745896</v>
      </c>
      <c r="G41" s="20">
        <f t="shared" si="4"/>
        <v>6360855.208333333</v>
      </c>
      <c r="H41" s="20">
        <f t="shared" si="5"/>
        <v>127500</v>
      </c>
      <c r="I41" s="20">
        <f t="shared" si="6"/>
        <v>126896.95822541043</v>
      </c>
      <c r="J41" s="20">
        <f t="shared" si="7"/>
        <v>76644.791666666977</v>
      </c>
      <c r="K41" s="23" t="str">
        <f>INDEX({"No Hedge","Forward","Money Market","Option"},MATCH(MIN($D41:$G41),$D41:$G41,0))</f>
        <v>Forward</v>
      </c>
      <c r="L41" s="24" t="str">
        <f>INDEX({"Forward","Money Market","Option"},MATCH(MIN($E41:$G41),$E41:$G41,0))</f>
        <v>Forward</v>
      </c>
    </row>
    <row r="42" spans="2:12" x14ac:dyDescent="0.35">
      <c r="B42" s="22">
        <v>4</v>
      </c>
      <c r="C42" s="19">
        <f t="shared" si="0"/>
        <v>1.3</v>
      </c>
      <c r="D42" s="20">
        <f t="shared" si="1"/>
        <v>6500000</v>
      </c>
      <c r="E42" s="20">
        <f t="shared" si="2"/>
        <v>6310000</v>
      </c>
      <c r="F42" s="20">
        <f t="shared" si="3"/>
        <v>6310603.0417745896</v>
      </c>
      <c r="G42" s="20">
        <f t="shared" si="4"/>
        <v>6360855.208333333</v>
      </c>
      <c r="H42" s="20">
        <f t="shared" si="5"/>
        <v>190000</v>
      </c>
      <c r="I42" s="20">
        <f t="shared" si="6"/>
        <v>189396.95822541043</v>
      </c>
      <c r="J42" s="20">
        <f t="shared" si="7"/>
        <v>139144.79166666698</v>
      </c>
      <c r="K42" s="23" t="str">
        <f>INDEX({"No Hedge","Forward","Money Market","Option"},MATCH(MIN($D42:$G42),$D42:$G42,0))</f>
        <v>Forward</v>
      </c>
      <c r="L42" s="24" t="str">
        <f>INDEX({"Forward","Money Market","Option"},MATCH(MIN($E42:$G42),$E42:$G42,0))</f>
        <v>Forward</v>
      </c>
    </row>
    <row r="43" spans="2:12" x14ac:dyDescent="0.35">
      <c r="B43" s="22">
        <v>5</v>
      </c>
      <c r="C43" s="19">
        <f t="shared" si="0"/>
        <v>1.3125</v>
      </c>
      <c r="D43" s="20">
        <f t="shared" si="1"/>
        <v>6562500</v>
      </c>
      <c r="E43" s="20">
        <f t="shared" si="2"/>
        <v>6310000</v>
      </c>
      <c r="F43" s="20">
        <f t="shared" si="3"/>
        <v>6310603.0417745896</v>
      </c>
      <c r="G43" s="20">
        <f t="shared" si="4"/>
        <v>6360855.208333333</v>
      </c>
      <c r="H43" s="20">
        <f t="shared" si="5"/>
        <v>252500</v>
      </c>
      <c r="I43" s="20">
        <f t="shared" si="6"/>
        <v>251896.95822541043</v>
      </c>
      <c r="J43" s="20">
        <f t="shared" si="7"/>
        <v>201644.79166666698</v>
      </c>
      <c r="K43" s="23" t="str">
        <f>INDEX({"No Hedge","Forward","Money Market","Option"},MATCH(MIN($D43:$G43),$D43:$G43,0))</f>
        <v>Forward</v>
      </c>
      <c r="L43" s="24" t="str">
        <f>INDEX({"Forward","Money Market","Option"},MATCH(MIN($E43:$G43),$E43:$G43,0))</f>
        <v>Forward</v>
      </c>
    </row>
  </sheetData>
  <mergeCells count="8">
    <mergeCell ref="A30:L30"/>
    <mergeCell ref="A2:L2"/>
    <mergeCell ref="A16:L16"/>
    <mergeCell ref="A1:L1"/>
    <mergeCell ref="A3:L3"/>
    <mergeCell ref="A21:L21"/>
    <mergeCell ref="D28:G28"/>
    <mergeCell ref="A4:L4"/>
  </mergeCells>
  <conditionalFormatting sqref="D33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:J43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workbookViewId="0">
      <selection sqref="A1:L1"/>
    </sheetView>
  </sheetViews>
  <sheetFormatPr defaultRowHeight="14.5" x14ac:dyDescent="0.35"/>
  <cols>
    <col min="1" max="1" width="2" customWidth="1"/>
    <col min="2" max="2" width="28" customWidth="1"/>
    <col min="3" max="3" width="24" customWidth="1"/>
    <col min="4" max="4" width="18" customWidth="1"/>
    <col min="5" max="5" width="36" customWidth="1"/>
    <col min="6" max="7" width="18" customWidth="1"/>
    <col min="8" max="8" width="2" customWidth="1"/>
  </cols>
  <sheetData>
    <row r="1" spans="1:12" ht="22" customHeight="1" x14ac:dyDescent="0.35">
      <c r="A1" s="40" t="s">
        <v>150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4" customHeight="1" x14ac:dyDescent="0.35">
      <c r="A2" s="37" t="s">
        <v>196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18" customHeight="1" x14ac:dyDescent="0.35">
      <c r="A3" s="36" t="s">
        <v>197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2" ht="20" customHeight="1" x14ac:dyDescent="0.35">
      <c r="A4" s="38" t="s">
        <v>198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2" ht="20" customHeight="1" x14ac:dyDescent="0.35">
      <c r="B5" s="2" t="s">
        <v>25</v>
      </c>
      <c r="C5" s="2" t="s">
        <v>199</v>
      </c>
      <c r="D5" s="2" t="s">
        <v>42</v>
      </c>
      <c r="E5" s="2" t="s">
        <v>200</v>
      </c>
      <c r="F5" s="2" t="s">
        <v>201</v>
      </c>
      <c r="G5" s="2" t="s">
        <v>202</v>
      </c>
    </row>
    <row r="6" spans="1:12" x14ac:dyDescent="0.35">
      <c r="B6" s="5" t="s">
        <v>203</v>
      </c>
      <c r="C6" s="12" t="s">
        <v>47</v>
      </c>
      <c r="D6" s="12" t="s">
        <v>53</v>
      </c>
      <c r="E6" s="30"/>
      <c r="F6" s="31"/>
      <c r="G6" s="30"/>
    </row>
    <row r="7" spans="1:12" x14ac:dyDescent="0.35">
      <c r="B7" s="5" t="s">
        <v>204</v>
      </c>
      <c r="C7" s="12" t="s">
        <v>47</v>
      </c>
      <c r="D7" s="12" t="s">
        <v>57</v>
      </c>
      <c r="E7" s="30"/>
      <c r="F7" s="31"/>
      <c r="G7" s="30"/>
    </row>
    <row r="8" spans="1:12" x14ac:dyDescent="0.35">
      <c r="B8" s="5" t="s">
        <v>205</v>
      </c>
      <c r="C8" s="12" t="s">
        <v>47</v>
      </c>
      <c r="D8" s="12" t="s">
        <v>62</v>
      </c>
      <c r="E8" s="30"/>
      <c r="F8" s="31"/>
      <c r="G8" s="30"/>
    </row>
    <row r="9" spans="1:12" x14ac:dyDescent="0.35">
      <c r="B9" s="5" t="s">
        <v>206</v>
      </c>
      <c r="C9" s="12" t="s">
        <v>47</v>
      </c>
      <c r="D9" s="12" t="s">
        <v>66</v>
      </c>
      <c r="E9" s="30"/>
      <c r="F9" s="31"/>
      <c r="G9" s="30"/>
    </row>
    <row r="10" spans="1:12" x14ac:dyDescent="0.35">
      <c r="B10" s="5" t="s">
        <v>207</v>
      </c>
      <c r="C10" s="12" t="s">
        <v>47</v>
      </c>
      <c r="D10" s="12" t="s">
        <v>84</v>
      </c>
      <c r="E10" s="30"/>
      <c r="F10" s="31"/>
      <c r="G10" s="30"/>
    </row>
    <row r="11" spans="1:12" x14ac:dyDescent="0.35">
      <c r="B11" s="5" t="s">
        <v>203</v>
      </c>
      <c r="C11" s="12" t="s">
        <v>120</v>
      </c>
      <c r="D11" s="12" t="s">
        <v>53</v>
      </c>
      <c r="E11" s="30"/>
      <c r="F11" s="31"/>
      <c r="G11" s="30"/>
    </row>
    <row r="12" spans="1:12" x14ac:dyDescent="0.35">
      <c r="B12" s="5" t="s">
        <v>204</v>
      </c>
      <c r="C12" s="12" t="s">
        <v>120</v>
      </c>
      <c r="D12" s="12" t="s">
        <v>57</v>
      </c>
      <c r="E12" s="30"/>
      <c r="F12" s="31"/>
      <c r="G12" s="30"/>
    </row>
    <row r="13" spans="1:12" x14ac:dyDescent="0.35">
      <c r="B13" s="5" t="s">
        <v>205</v>
      </c>
      <c r="C13" s="12" t="s">
        <v>120</v>
      </c>
      <c r="D13" s="12" t="s">
        <v>62</v>
      </c>
      <c r="E13" s="30"/>
      <c r="F13" s="31"/>
      <c r="G13" s="30"/>
    </row>
    <row r="14" spans="1:12" x14ac:dyDescent="0.35">
      <c r="B14" s="5" t="s">
        <v>206</v>
      </c>
      <c r="C14" s="12" t="s">
        <v>120</v>
      </c>
      <c r="D14" s="12" t="s">
        <v>66</v>
      </c>
      <c r="E14" s="30"/>
      <c r="F14" s="31"/>
      <c r="G14" s="30"/>
    </row>
    <row r="15" spans="1:12" x14ac:dyDescent="0.35">
      <c r="B15" s="5" t="s">
        <v>208</v>
      </c>
      <c r="C15" s="12" t="s">
        <v>120</v>
      </c>
      <c r="D15" s="12" t="s">
        <v>84</v>
      </c>
      <c r="E15" s="30"/>
      <c r="F15" s="31"/>
      <c r="G15" s="30"/>
    </row>
    <row r="18" spans="1:12" ht="20" customHeight="1" x14ac:dyDescent="0.35">
      <c r="A18" s="38" t="s">
        <v>209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1:12" x14ac:dyDescent="0.35">
      <c r="B19" s="44" t="s">
        <v>210</v>
      </c>
      <c r="C19" s="33"/>
      <c r="D19" s="33"/>
      <c r="E19" s="33"/>
      <c r="F19" s="33"/>
      <c r="G19" s="33"/>
    </row>
    <row r="20" spans="1:12" x14ac:dyDescent="0.35">
      <c r="B20" s="33"/>
      <c r="C20" s="33"/>
      <c r="D20" s="33"/>
      <c r="E20" s="33"/>
      <c r="F20" s="33"/>
      <c r="G20" s="33"/>
    </row>
    <row r="21" spans="1:12" x14ac:dyDescent="0.35">
      <c r="B21" s="33"/>
      <c r="C21" s="33"/>
      <c r="D21" s="33"/>
      <c r="E21" s="33"/>
      <c r="F21" s="33"/>
      <c r="G21" s="33"/>
    </row>
    <row r="22" spans="1:12" x14ac:dyDescent="0.35">
      <c r="B22" s="33"/>
      <c r="C22" s="33"/>
      <c r="D22" s="33"/>
      <c r="E22" s="33"/>
      <c r="F22" s="33"/>
      <c r="G22" s="33"/>
    </row>
    <row r="23" spans="1:12" x14ac:dyDescent="0.35">
      <c r="B23" s="33"/>
      <c r="C23" s="33"/>
      <c r="D23" s="33"/>
      <c r="E23" s="33"/>
      <c r="F23" s="33"/>
      <c r="G23" s="33"/>
    </row>
    <row r="24" spans="1:12" x14ac:dyDescent="0.35">
      <c r="B24" s="33"/>
      <c r="C24" s="33"/>
      <c r="D24" s="33"/>
      <c r="E24" s="33"/>
      <c r="F24" s="33"/>
      <c r="G24" s="33"/>
    </row>
  </sheetData>
  <mergeCells count="6">
    <mergeCell ref="B19:G24"/>
    <mergeCell ref="A2:L2"/>
    <mergeCell ref="A1:L1"/>
    <mergeCell ref="A18:L18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34</vt:i4>
      </vt:variant>
    </vt:vector>
  </HeadingPairs>
  <TitlesOfParts>
    <vt:vector size="38" baseType="lpstr">
      <vt:lpstr>Cover</vt:lpstr>
      <vt:lpstr>Receivable</vt:lpstr>
      <vt:lpstr>Payable</vt:lpstr>
      <vt:lpstr>Notes</vt:lpstr>
      <vt:lpstr>BASIS_pay</vt:lpstr>
      <vt:lpstr>BASIS_rec</vt:lpstr>
      <vt:lpstr>DF_FC_pay</vt:lpstr>
      <vt:lpstr>DF_FC_rec</vt:lpstr>
      <vt:lpstr>DF_USD_pay</vt:lpstr>
      <vt:lpstr>DF_USD_rec</vt:lpstr>
      <vt:lpstr>F0_in_pay</vt:lpstr>
      <vt:lpstr>F0_in_rec</vt:lpstr>
      <vt:lpstr>FC_AMT_pay</vt:lpstr>
      <vt:lpstr>FC_AMT_rec</vt:lpstr>
      <vt:lpstr>FV_PREM_CALL_pay</vt:lpstr>
      <vt:lpstr>FV_PREM_PUT_rec</vt:lpstr>
      <vt:lpstr>K_CALL_pay</vt:lpstr>
      <vt:lpstr>K_PUT_rec</vt:lpstr>
      <vt:lpstr>PREM_CALL_pay</vt:lpstr>
      <vt:lpstr>PREM_PUT_rec</vt:lpstr>
      <vt:lpstr>R_FC_pay</vt:lpstr>
      <vt:lpstr>R_FC_rec</vt:lpstr>
      <vt:lpstr>R_USD_pay</vt:lpstr>
      <vt:lpstr>R_USD_rec</vt:lpstr>
      <vt:lpstr>S0_in_pay</vt:lpstr>
      <vt:lpstr>S0_in_rec</vt:lpstr>
      <vt:lpstr>STEP_FRAC_pay</vt:lpstr>
      <vt:lpstr>STEP_FRAC_rec</vt:lpstr>
      <vt:lpstr>T_DAYS_pay</vt:lpstr>
      <vt:lpstr>T_DAYS_rec</vt:lpstr>
      <vt:lpstr>USD_BASE_CALL_pay</vt:lpstr>
      <vt:lpstr>USD_BASE_PUT_rec</vt:lpstr>
      <vt:lpstr>USD_CEILING_CALL_pay</vt:lpstr>
      <vt:lpstr>USD_FLOOR_PUT_rec</vt:lpstr>
      <vt:lpstr>USD_FWD_pay</vt:lpstr>
      <vt:lpstr>USD_FWD_rec</vt:lpstr>
      <vt:lpstr>USD_MM_pay</vt:lpstr>
      <vt:lpstr>USD_MM_rec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dcterms:created xsi:type="dcterms:W3CDTF">2026-04-24T21:10:32Z</dcterms:created>
  <dcterms:modified xsi:type="dcterms:W3CDTF">2026-04-27T01:26:37Z</dcterms:modified>
</cp:coreProperties>
</file>