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BUS-314-International-Corporate-Finance\accounting-ratios\_scenarios\"/>
    </mc:Choice>
  </mc:AlternateContent>
  <xr:revisionPtr revIDLastSave="0" documentId="13_ncr:1_{7E0E6EB2-670F-4D01-975C-79B34B29BC8D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30" i="3"/>
  <c r="C28" i="3"/>
  <c r="C20" i="3"/>
  <c r="C5" i="3"/>
  <c r="C21" i="1"/>
  <c r="H20" i="1"/>
  <c r="H18" i="1"/>
  <c r="H13" i="1"/>
  <c r="H8" i="1"/>
  <c r="G20" i="1"/>
  <c r="G18" i="1"/>
  <c r="G13" i="1"/>
  <c r="G8" i="1"/>
  <c r="D20" i="1"/>
  <c r="D14" i="1"/>
  <c r="D9" i="1"/>
  <c r="C20" i="1"/>
  <c r="C14" i="1"/>
  <c r="C9" i="1"/>
  <c r="C19" i="2"/>
  <c r="C17" i="2"/>
  <c r="C15" i="2"/>
  <c r="C12" i="2"/>
  <c r="C26" i="4" l="1"/>
  <c r="C25" i="4"/>
  <c r="C22" i="4"/>
  <c r="C21" i="4"/>
  <c r="C20" i="4"/>
  <c r="C16" i="4"/>
  <c r="C14" i="4"/>
  <c r="C13" i="4"/>
  <c r="C9" i="4"/>
  <c r="C13" i="3"/>
  <c r="C14" i="3" s="1"/>
  <c r="D18" i="2"/>
  <c r="D16" i="2"/>
  <c r="D13" i="2"/>
  <c r="D10" i="2"/>
  <c r="D9" i="2"/>
  <c r="D8" i="2"/>
  <c r="D5" i="2"/>
  <c r="D4" i="2"/>
  <c r="C12" i="4"/>
  <c r="C29" i="4"/>
  <c r="D18" i="1"/>
  <c r="C27" i="4"/>
  <c r="C36" i="4" l="1"/>
  <c r="C33" i="4"/>
  <c r="C24" i="4"/>
  <c r="C18" i="1"/>
  <c r="C15" i="4"/>
  <c r="D6" i="2"/>
  <c r="D19" i="2"/>
  <c r="D12" i="2"/>
  <c r="D17" i="2"/>
  <c r="C35" i="4"/>
  <c r="D15" i="2"/>
  <c r="C23" i="4"/>
  <c r="C30" i="4" l="1"/>
  <c r="C28" i="4"/>
  <c r="C3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EECCC68B-B661-4716-AA69-5D3BEEB1367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Release, https://stock.walmart.com/sec-filings/all-sec-filings/content/0000104169-25-000010/earningsreleasefy25q4.htm</t>
        </r>
      </text>
    </comment>
    <comment ref="D5" authorId="0" shapeId="0" xr:uid="{9CB28331-8E61-40FD-9341-B12C135A274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Release, https://stock.walmart.com/sec-filings/all-sec-filings/content/0000104169-25-000010/earningsreleasefy25q4.htm</t>
        </r>
      </text>
    </comment>
    <comment ref="H5" authorId="0" shapeId="0" xr:uid="{874372C0-5CCE-46E4-AAA0-A6ED92FD01D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Long-term debt due within one year + finance lease due, https://stock.walmart.com/sec-filings/all-sec-filings/content/0000104169-25-000010/earningsreleasefy25q4.htm</t>
        </r>
      </text>
    </comment>
    <comment ref="C6" authorId="0" shapeId="0" xr:uid="{21D3E821-F5B7-44CF-8B7A-79A13C934E7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Receivables, net, https://stock.walmart.com/sec-filings/all-sec-filings/content/0000104169-25-000010/earningsreleasefy25q4.htm</t>
        </r>
      </text>
    </comment>
    <comment ref="D6" authorId="0" shapeId="0" xr:uid="{F873898F-ED16-4A17-9D09-3C421CD28C7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Receivables, net FY2024, https://stock.walmart.com/sec-filings/all-sec-filings/content/0000104169-25-000010/earningsreleasefy25q4.htm</t>
        </r>
      </text>
    </comment>
    <comment ref="H6" authorId="0" shapeId="0" xr:uid="{0485E2CF-083F-4AAE-97BB-D466D1E0F42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Accounts payable, https://stock.walmart.com/sec-filings/all-sec-filings/content/0000104169-25-000010/earningsreleasefy25q4.htm</t>
        </r>
      </text>
    </comment>
    <comment ref="C7" authorId="0" shapeId="0" xr:uid="{30A3F736-83F2-4AA5-85E5-4C426D3304A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Inventories, https://stock.walmart.com/sec-filings/all-sec-filings/content/0000104169-25-000010/earningsreleasefy25q4.htm</t>
        </r>
      </text>
    </comment>
    <comment ref="D7" authorId="0" shapeId="0" xr:uid="{3253FC2D-F554-4C33-AE2E-481DB19ADF0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Inventories FY2024</t>
        </r>
      </text>
    </comment>
    <comment ref="H7" authorId="0" shapeId="0" xr:uid="{91E575C5-088E-4E84-AD4A-F4AEAC26D7C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Accrued liabilities + accrued taxes + op lease due + short-term borrowings, https://stock.walmart.com/sec-filings/all-sec-filings/content/0000104169-25-000010/earningsreleasefy25q4.htm</t>
        </r>
      </text>
    </comment>
    <comment ref="C8" authorId="0" shapeId="0" xr:uid="{BE17D157-3FC5-42FB-B7BE-4016EBD26CF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Prepaid expenses and other, https://stock.walmart.com/sec-filings/all-sec-filings/content/0000104169-25-000010/earningsreleasefy25q4.htm</t>
        </r>
      </text>
    </comment>
    <comment ref="D8" authorId="0" shapeId="0" xr:uid="{DCA7CCFA-9ACA-4BBE-AE44-4F871E62842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Prepaid expenses and other FY2024</t>
        </r>
      </text>
    </comment>
    <comment ref="H14" authorId="0" shapeId="0" xr:uid="{82FA42D9-2116-4D21-B2A5-7B3ACF20DCD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LTD due FY2024 + finance lease due FY2024</t>
        </r>
      </text>
    </comment>
    <comment ref="H15" authorId="0" shapeId="0" xr:uid="{4DDDD948-5EE0-4DF5-8036-60E68006F18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Long-term debt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4" authorId="0" shapeId="0" xr:uid="{5CE77B24-3A00-45C1-9EEF-FDA7DE9C2C1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Release, https://stock.walmart.com/sec-filings/all-sec-filings/content/0000104169-25-000010/earningsreleasefy25q4.htm</t>
        </r>
      </text>
    </comment>
    <comment ref="C5" authorId="0" shapeId="0" xr:uid="{F4F638BB-0105-4AEF-B374-30738AD1AA4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Release, https://stock.walmart.com/sec-filings/all-sec-filings/content/0000104169-25-000010/earningsreleasefy25q4.htm</t>
        </r>
      </text>
    </comment>
    <comment ref="C6" authorId="0" shapeId="0" xr:uid="{874C9D4B-CF64-4498-84D2-2857594D593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Operating, selling, general &amp; administrative expenses, https://stock.walmart.com/sec-filings/all-sec-filings/content/0000104169-25-000010/earningsreleasefy25q4.htm</t>
        </r>
      </text>
    </comment>
    <comment ref="C7" authorId="0" shapeId="0" xr:uid="{588170E5-D733-425C-BC59-B123BEBD033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(D&amp;A from Cash Flow Statement), https://stock.walmart.com/sec-filings/all-sec-filings/content/0000104169-25-000010/earningsreleasefy25q4.htm</t>
        </r>
      </text>
    </comment>
    <comment ref="C8" authorId="0" shapeId="0" xr:uid="{FAEEFAA5-703C-41D1-A797-8542C005CC6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Operating income, https://stock.walmart.com/sec-filings/all-sec-filings/content/0000104169-25-000010/earningsreleasefy25q4.htm</t>
        </r>
      </text>
    </comment>
    <comment ref="C10" authorId="0" shapeId="0" xr:uid="{92FB2535-E6B0-4E16-85DD-CE2EC4273C4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Membership and other income, https://stock.walmart.com/sec-filings/all-sec-filings/content/0000104169-25-000010/earningsreleasefy25q4.htm</t>
        </r>
      </text>
    </comment>
    <comment ref="C11" authorId="0" shapeId="0" xr:uid="{3A84A247-CF89-43EB-BF79-C751DFD4F64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Interest, net, https://stock.walmart.com/sec-filings/all-sec-filings/content/0000104169-25-000010/earningsreleasefy25q4.htm</t>
        </r>
      </text>
    </comment>
    <comment ref="C14" authorId="0" shapeId="0" xr:uid="{5C7AB47E-5EE4-4B25-BEA0-86F80776F2C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Provision for income taxes, https://stock.walmart.com/sec-filings/all-sec-filings/content/0000104169-25-000010/earningsreleasefy25q4.htm</t>
        </r>
      </text>
    </comment>
    <comment ref="C18" authorId="0" shapeId="0" xr:uid="{CE7C8755-9988-486D-9625-C2B697746FB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Dividends paid (Cash Flow Statement), https://stock.walmart.com/sec-filings/all-sec-filings/content/0000104169-25-000010/earningsreleasefy25q4.htm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30A19DAE-EE69-4D32-8BBC-BAF955C4A19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consolidated net income ($20,157M) approx via model IS. Real consolidated NI = $20,157M; attr to Walmart = $19,436M.</t>
        </r>
      </text>
    </comment>
    <comment ref="C6" authorId="0" shapeId="0" xr:uid="{CFABE6DB-4134-4EB9-B245-64D6E9B2E12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Depreciation and amortization from Cash Flow Statement, https://stock.walmart.com/sec-filings/all-sec-filings/content/0000104169-25-000010/earningsreleasefy25q4.htm</t>
        </r>
      </text>
    </comment>
    <comment ref="C8" authorId="0" shapeId="0" xr:uid="{E495921B-34A6-4205-953B-B152D9D4CA4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receivables (-$1,106M) + other adjustments. https://stock.walmart.com/sec-filings/all-sec-filings/content/0000104169-25-000010/earningsreleasefy25q4.htm</t>
        </r>
      </text>
    </comment>
    <comment ref="C9" authorId="0" shapeId="0" xr:uid="{283694EE-CA82-4BC9-9B36-F8F38D23978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inventories (-$2,755M) partially offset by adjustments. https://stock.walmart.com/sec-filings/all-sec-filings/content/0000104169-25-000010/earningsreleasefy25q4.htm</t>
        </r>
      </text>
    </comment>
    <comment ref="C10" authorId="0" shapeId="0" xr:uid="{3D5EFC17-C157-4EEF-B01A-84C37F0FC84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prepaid/other current assets.</t>
        </r>
      </text>
    </comment>
    <comment ref="C11" authorId="0" shapeId="0" xr:uid="{1C7EDFD0-D798-4373-B515-6F99867E22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accounts payable ($3,228M) partially.</t>
        </r>
      </text>
    </comment>
    <comment ref="C12" authorId="0" shapeId="0" xr:uid="{C1066BFC-977F-4E02-AAC4-4F24CE35C572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Other operating activities + accrued liabilities + accrued taxes ($379M+$435M+$2,075M other).</t>
        </r>
      </text>
    </comment>
    <comment ref="C16" authorId="0" shapeId="0" xr:uid="{EF61B233-9A25-40CB-95B9-2AC414126EF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Payments for property and equipment, https://stock.walmart.com/sec-filings/all-sec-filings/content/0000104169-25-000010/earningsreleasefy25q4.htm</t>
        </r>
      </text>
    </comment>
    <comment ref="C17" authorId="0" shapeId="0" xr:uid="{E6B615E8-E106-4116-BCA2-68A958E09062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Proceeds from disposal of property and equipment.</t>
        </r>
      </text>
    </comment>
    <comment ref="C18" authorId="0" shapeId="0" xr:uid="{DB1BFCF2-E7B5-4E4B-899D-8FE77AB60CC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Business acquisitions (-$1,896M) + other investing (-$212M) + strategic investment proceeds ($4,080M) net.</t>
        </r>
      </text>
    </comment>
    <comment ref="C21" authorId="0" shapeId="0" xr:uid="{16F7D1B6-5B21-471A-B13D-9D6B8215E79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Net change in short-term borrowings.</t>
        </r>
      </text>
    </comment>
    <comment ref="C22" authorId="0" shapeId="0" xr:uid="{B5476FA6-0031-4DE7-9D8D-6D93442FDC0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Repayments of long-term debt net of proceeds.</t>
        </r>
      </text>
    </comment>
    <comment ref="C23" authorId="0" shapeId="0" xr:uid="{E258257B-97C4-4988-B771-1A40A0A1993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Dividends paid.</t>
        </r>
      </text>
    </comment>
    <comment ref="C24" authorId="0" shapeId="0" xr:uid="{22890167-8565-448D-B6D5-55B4BAACB63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Purchase of Company stock.</t>
        </r>
      </text>
    </comment>
    <comment ref="C25" authorId="0" shapeId="0" xr:uid="{6023C3A9-4FDD-47B7-B01B-3C9C20017D3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Other financing activities ($-576M dividends to NCI + $362M sale of subsidiary + $-2,170M other).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<sst xmlns="http://schemas.openxmlformats.org/spreadsheetml/2006/main" count="309" uniqueCount="277">
  <si>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Walmart Inc. (WMT)</t>
  </si>
  <si>
    <t>ASSETS</t>
  </si>
  <si>
    <t>FY2025 (Jan 31, 2025)</t>
  </si>
  <si>
    <t>FY2024 (Jan 31, 2024)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</si>
  <si>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</si>
  <si>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</si>
  <si>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</si>
  <si>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</si>
  <si>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</si>
  <si>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</si>
  <si>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</si>
  <si>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</si>
  <si>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</si>
  <si>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</si>
  <si>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</si>
  <si>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</si>
  <si>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</si>
  <si>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</si>
  <si>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</si>
  <si>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</si>
  <si>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</si>
  <si>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</si>
  <si>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</si>
  <si>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</si>
  <si>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</si>
  <si>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</si>
  <si>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</si>
  <si>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</si>
  <si>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</si>
  <si>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</si>
  <si>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</si>
  <si>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</si>
  <si>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</si>
  <si>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</si>
  <si>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Walmart 10-K FY2025, SEC EDGAR</t>
  </si>
  <si>
    <t>Income Statement — Walmart Inc. (WMT)</t>
  </si>
  <si>
    <t>Line Item</t>
  </si>
  <si>
    <t>% of Sales</t>
  </si>
  <si>
    <t>Net sales</t>
  </si>
  <si>
    <t>less Cost of goods sold</t>
  </si>
  <si>
    <t>less Depreciation</t>
  </si>
  <si>
    <t>Earnings before interest &amp; taxes (EBIT)</t>
  </si>
  <si>
    <t>less Taxes</t>
  </si>
  <si>
    <t>Net income</t>
  </si>
  <si>
    <t>Allocation of Net Income</t>
  </si>
  <si>
    <t>Dividends</t>
  </si>
  <si>
    <t>Addition to retained earnings</t>
  </si>
  <si>
    <t>Cash Flow Statement — Walmart Inc. (WMT)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</si>
  <si>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</si>
  <si>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</si>
  <si>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</si>
  <si>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</si>
  <si>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</si>
  <si>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</si>
  <si>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</si>
  <si>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</si>
  <si>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</si>
  <si>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</si>
  <si>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</si>
  <si>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</si>
  <si>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</si>
  <si>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</si>
  <si>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</si>
  <si>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</si>
  <si>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</si>
  <si>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</si>
  <si>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</si>
  <si>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</si>
  <si>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</si>
  <si>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</si>
  <si>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</si>
  <si>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</si>
  <si>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</si>
  <si>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</si>
  <si>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Walmart Inc. (WMT)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</si>
  <si>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</si>
  <si>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</si>
  <si>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</si>
  <si>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</si>
  <si>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</si>
  <si>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</si>
  <si>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</si>
  <si>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</si>
  <si>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</si>
  <si>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</si>
  <si>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</si>
  <si>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</si>
  <si>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</si>
  <si>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</si>
  <si>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</si>
  <si>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</si>
  <si>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</si>
  <si>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</si>
  <si>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</si>
  <si>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</si>
  <si>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</si>
  <si>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</si>
  <si>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BAL_equity_shareholders_2024</t>
  </si>
  <si>
    <t>startYear_equity</t>
  </si>
  <si>
    <t>Inventories (start of year)</t>
  </si>
  <si>
    <t>BAL_inventories_2024</t>
  </si>
  <si>
    <t>startYear_inventory</t>
  </si>
  <si>
    <t>Receivables (start of year)</t>
  </si>
  <si>
    <t>BAL_receivables_2024</t>
  </si>
  <si>
    <t>startYear_receivables</t>
  </si>
  <si>
    <t>Total assets (start of year)</t>
  </si>
  <si>
    <t>BAL_assets_total_2024</t>
  </si>
  <si>
    <t>startYear_total_assets</t>
  </si>
  <si>
    <t>Total capitalization (start of year)</t>
  </si>
  <si>
    <t>BAL_debt_long_term_2024 + BAL_equity_shareholders_2024</t>
  </si>
  <si>
    <t>startYear_total_capitalization</t>
  </si>
  <si>
    <t>─── Current Year (Derived) ───</t>
  </si>
  <si>
    <t>After-tax operating income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</si>
  <si>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</si>
  <si>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</si>
  <si>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</si>
  <si>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</si>
  <si>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</si>
  <si>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BAL_equity_shareholders_2025</t>
  </si>
  <si>
    <t>currentYear_equity</t>
  </si>
  <si>
    <t>Cash + Mktable securities</t>
  </si>
  <si>
    <t>BAL_cash_marketable_securities_2025</t>
  </si>
  <si>
    <t>currentYear_cash_marketable_securities</t>
  </si>
  <si>
    <t>Current assets</t>
  </si>
  <si>
    <t>BAL_assets_current_2025</t>
  </si>
  <si>
    <t>currentYear_assets_current</t>
  </si>
  <si>
    <t>Current liabilities</t>
  </si>
  <si>
    <t>BAL_liabilities_current_2025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</si>
  <si>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</si>
  <si>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</si>
  <si>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</si>
  <si>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</si>
  <si>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</si>
  <si>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BAL_debt_long_term_2025</t>
  </si>
  <si>
    <t>currentYear_debt_long_term</t>
  </si>
  <si>
    <t>Net working capital</t>
  </si>
  <si>
    <t>BAL_assets_current_2025 − BAL_liabilities_current_2025</t>
  </si>
  <si>
    <t>currentYear_working_capital_net</t>
  </si>
  <si>
    <t>Total assets</t>
  </si>
  <si>
    <t>BAL_assets_total_2025</t>
  </si>
  <si>
    <t>currentYear_assets_total</t>
  </si>
  <si>
    <t>Total capitalization</t>
  </si>
  <si>
    <t>BAL_debt_long_term_2025 + BAL_equity_shareholders_2025</t>
  </si>
  <si>
    <t>currentYear_total_capitalization</t>
  </si>
  <si>
    <t>Total liabilities</t>
  </si>
  <si>
    <t>BAL_liabilities_total_2025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</si>
  <si>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</si>
  <si>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</si>
  <si>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</si>
  <si>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</si>
  <si>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</si>
  <si>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</si>
  <si>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</si>
  <si>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</si>
  <si>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</si>
  <si>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</si>
  <si>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</si>
  <si>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</si>
  <si>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</si>
  <si>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</si>
  <si>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</si>
  <si>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</si>
  <si>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</si>
  <si>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</si>
  <si>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</si>
  <si>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</si>
  <si>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</si>
  <si>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</si>
  <si>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</si>
  <si>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</si>
  <si>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</si>
  <si>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</si>
  <si>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</si>
  <si>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</si>
  <si>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</si>
  <si>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</si>
  <si>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</si>
  <si>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</si>
  <si>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</si>
  <si>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</si>
  <si>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</si>
  <si>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</si>
  <si>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</si>
  <si>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</si>
  <si>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</si>
  <si>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</si>
  <si>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</si>
  <si>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</si>
  <si>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</si>
  <si>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</si>
  <si>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</si>
  <si>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</si>
  <si>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</si>
  <si>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</si>
  <si>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</si>
  <si>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</si>
  <si>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</si>
  <si>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</si>
  <si>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</si>
  <si>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</si>
  <si>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</si>
  <si>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</si>
  <si>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</si>
  <si>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</si>
  <si>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</si>
  <si>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</si>
  <si>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</si>
  <si>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</si>
  <si>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Cash coverage ratio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</si>
  <si>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</si>
  <si>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</si>
  <si>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</si>
  <si>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</si>
  <si>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</si>
  <si>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</si>
  <si>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</si>
  <si>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</si>
  <si>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</si>
  <si>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</si>
  <si>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</si>
  <si>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</si>
  <si>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</si>
  <si>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</si>
  <si>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</si>
  <si>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</si>
  <si>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</si>
  <si>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</si>
  <si>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</si>
  <si>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</si>
  <si>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</si>
  <si>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</si>
  <si>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</si>
  <si>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</si>
  <si>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</si>
  <si>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</si>
  <si>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</si>
  <si>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</si>
  <si>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</si>
  <si>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Walmart Inc. (WMT)</t>
  </si>
  <si>
    <t>Company:</t>
  </si>
  <si>
    <t>Walmart Inc.</t>
  </si>
  <si>
    <t>Ticker:</t>
  </si>
  <si>
    <t>WMT</t>
  </si>
  <si>
    <t>Industry:</t>
  </si>
  <si>
    <t>Retail – General Merchandise</t>
  </si>
  <si>
    <t>Fiscal Year (current):</t>
  </si>
  <si>
    <t>Fiscal Year (prior):</t>
  </si>
  <si>
    <t>Data Source:</t>
  </si>
  <si>
    <t>Walmart 10-K FY2025, SEC EDGAR</t>
  </si>
  <si>
    <t>Units:</t>
  </si>
  <si>
    <t>All figures in millions of US dollars unless otherwise noted.</t>
  </si>
  <si>
    <t>Tax Rate:</t>
  </si>
  <si>
    <t>21.5% — use as analyst assumption (adjust to effective rate if preferred)</t>
  </si>
  <si>
    <t>Cost of Capital:</t>
  </si>
  <si>
    <t>6.5% — estimated WACC; students may refine using CAPM + class methodology</t>
  </si>
  <si>
    <t>Share Price:</t>
  </si>
  <si>
    <t>$98.85 — end-of-fiscal-year closing price</t>
  </si>
  <si>
    <t>Shares Outstanding:</t>
  </si>
  <si>
    <t>8,039M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</si>
  <si>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</si>
  <si>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</si>
  <si>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</si>
  <si>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</si>
  <si>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</si>
  <si>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</si>
  <si>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</si>
  <si>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</si>
  <si>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</si>
  <si>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</si>
  <si>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>less Selling, general &amp; administrative (SG&amp;A)</t>
  </si>
  <si>
    <t>Pre-tax income</t>
  </si>
  <si>
    <t>plus Membership &amp; other income</t>
  </si>
  <si>
    <t>less Interest, net</t>
  </si>
  <si>
    <t>(currentYear_cash_marketable_securities + 'Balance Sheet'!C6) / currentYear_liabilities_current</t>
  </si>
  <si>
    <t>INC_net + (1−tax_rate) × INC_interest_net</t>
  </si>
  <si>
    <t>INC_ebit / INC_interest_net</t>
  </si>
  <si>
    <t>(INC_ebit + INC_depreciation) / INC_interest_net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</si>
</sst>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070214-DB2E-47F5-9343-E0175E5829C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9037</v>
      </c>
      <c r="D5" s="10">
        <v>9867</v>
      </c>
      <c r="E5" s="5"/>
      <c r="F5" s="9" t="s">
        <v>9</v>
      </c>
      <c r="G5" s="10">
        <v>6466</v>
      </c>
      <c r="H5" s="10">
        <v>5050</v>
      </c>
    </row>
    <row r="6" spans="1:8" ht="15" customHeight="1" x14ac:dyDescent="0.45">
      <c r="A6" s="1"/>
      <c r="B6" s="9" t="s">
        <v>10</v>
      </c>
      <c r="C6" s="10">
        <v>9975</v>
      </c>
      <c r="D6" s="10">
        <v>8796</v>
      </c>
      <c r="E6" s="5"/>
      <c r="F6" s="9" t="s">
        <v>11</v>
      </c>
      <c r="G6" s="10">
        <v>58666</v>
      </c>
      <c r="H6" s="10">
        <v>56812</v>
      </c>
    </row>
    <row r="7" spans="1:8" ht="15" customHeight="1" x14ac:dyDescent="0.45">
      <c r="A7" s="1"/>
      <c r="B7" s="9" t="s">
        <v>12</v>
      </c>
      <c r="C7" s="10">
        <v>56435</v>
      </c>
      <c r="D7" s="10">
        <v>54892</v>
      </c>
      <c r="E7" s="5"/>
      <c r="F7" s="9" t="s">
        <v>13</v>
      </c>
      <c r="G7" s="10">
        <v>31452</v>
      </c>
      <c r="H7" s="10">
        <v>30553</v>
      </c>
    </row>
    <row r="8" spans="1:8" ht="15" customHeight="1" x14ac:dyDescent="0.45">
      <c r="A8" s="1"/>
      <c r="B8" s="9" t="s">
        <v>14</v>
      </c>
      <c r="C8" s="10">
        <v>4011</v>
      </c>
      <c r="D8" s="10">
        <v>3322</v>
      </c>
      <c r="E8" s="5"/>
      <c r="F8" s="11" t="s">
        <v>15</v>
      </c>
      <c r="G8" s="12">
        <f>G5+G6+G7</f>
        <v>96584</v>
      </c>
      <c r="H8" s="12">
        <f>H5+H6+H7</f>
        <v>92415</v>
      </c>
    </row>
    <row r="9" spans="1:8" ht="15" customHeight="1" x14ac:dyDescent="0.45">
      <c r="A9" s="1"/>
      <c r="B9" s="11" t="s">
        <v>16</v>
      </c>
      <c r="C9" s="13">
        <f>C5+C6+C7+C8</f>
        <v>79458</v>
      </c>
      <c r="D9" s="13">
        <f>D5+D6+D7+D8</f>
        <v>76877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33401</v>
      </c>
      <c r="H10" s="10">
        <v>36132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33417</v>
      </c>
      <c r="H11" s="10">
        <v>33503</v>
      </c>
    </row>
    <row r="12" spans="1:8" ht="15" customHeight="1" x14ac:dyDescent="0.45">
      <c r="A12" s="1"/>
      <c r="B12" s="9" t="s">
        <v>20</v>
      </c>
      <c r="C12" s="10">
        <v>187483</v>
      </c>
      <c r="D12" s="10">
        <v>174566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67490</v>
      </c>
      <c r="D13" s="10">
        <v>63756</v>
      </c>
      <c r="E13" s="5"/>
      <c r="F13" s="11" t="s">
        <v>22</v>
      </c>
      <c r="G13" s="12">
        <f>G8+G10+G11</f>
        <v>163402</v>
      </c>
      <c r="H13" s="12">
        <f>H8+H10+H11</f>
        <v>162050</v>
      </c>
    </row>
    <row r="14" spans="1:8" ht="15" customHeight="1" x14ac:dyDescent="0.45">
      <c r="A14" s="1"/>
      <c r="B14" s="11" t="s">
        <v>23</v>
      </c>
      <c r="C14" s="13">
        <f>C12-C13</f>
        <v>119993</v>
      </c>
      <c r="D14" s="13">
        <f>D12-D13</f>
        <v>110810</v>
      </c>
      <c r="E14" s="5"/>
      <c r="F14" s="1"/>
      <c r="G14" s="1"/>
      <c r="H14" s="1">
        <v>3447</v>
      </c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>
        <v>36132</v>
      </c>
    </row>
    <row r="16" spans="1:8" ht="15.75" customHeight="1" x14ac:dyDescent="0.45">
      <c r="A16" s="1"/>
      <c r="B16" s="7" t="s">
        <v>25</v>
      </c>
      <c r="C16" s="8">
        <v>28792</v>
      </c>
      <c r="D16" s="8">
        <v>28113</v>
      </c>
      <c r="E16" s="5"/>
      <c r="F16" s="9" t="s">
        <v>26</v>
      </c>
      <c r="G16" s="10">
        <v>6305</v>
      </c>
      <c r="H16" s="10">
        <v>5349</v>
      </c>
    </row>
    <row r="17" spans="1:8" ht="15" customHeight="1" x14ac:dyDescent="0.45">
      <c r="A17" s="1"/>
      <c r="B17" s="9" t="s">
        <v>27</v>
      </c>
      <c r="C17" s="10">
        <v>32580</v>
      </c>
      <c r="D17" s="10">
        <v>36599</v>
      </c>
      <c r="E17" s="5"/>
      <c r="F17" s="9" t="s">
        <v>28</v>
      </c>
      <c r="G17" s="10">
        <v>91116</v>
      </c>
      <c r="H17" s="10">
        <v>85000</v>
      </c>
    </row>
    <row r="18" spans="1:8" ht="15" customHeight="1" x14ac:dyDescent="0.45">
      <c r="A18" s="1"/>
      <c r="B18" s="9" t="s">
        <v>29</v>
      </c>
      <c r="C18" s="14">
        <f>G20-C9-C14-C17</f>
        <v>28792</v>
      </c>
      <c r="D18" s="14">
        <f>H20-D9-D14-D17</f>
        <v>28113</v>
      </c>
      <c r="E18" s="5"/>
      <c r="F18" s="11" t="s">
        <v>30</v>
      </c>
      <c r="G18" s="12">
        <f>G16+G17</f>
        <v>97421</v>
      </c>
      <c r="H18" s="12">
        <f>H16+H17</f>
        <v>90349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C9+C14+C16+C17</f>
        <v>260823</v>
      </c>
      <c r="D20" s="16">
        <f>D9+D14+D16+D17</f>
        <v>252399</v>
      </c>
      <c r="E20" s="5"/>
      <c r="F20" s="15" t="s">
        <v>32</v>
      </c>
      <c r="G20" s="16">
        <f>G13+G18</f>
        <v>260823</v>
      </c>
      <c r="H20" s="16">
        <f>H13+H18</f>
        <v>252399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674538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511753</v>
      </c>
      <c r="D5" s="23">
        <f>IF(C$4=0,0,C5/C$4)</f>
        <v>0.7586718613332385</v>
      </c>
    </row>
    <row r="6" spans="1:4" ht="15" customHeight="1" x14ac:dyDescent="0.45">
      <c r="A6" s="1"/>
      <c r="B6" s="9" t="s">
        <v>269</v>
      </c>
      <c r="C6" s="24">
        <v>139884</v>
      </c>
      <c r="D6" s="23">
        <f>IF(C$4=0,0,C6/C$4)</f>
        <v>0.2073774939291782</v>
      </c>
    </row>
    <row r="7" spans="1:4" ht="15" customHeight="1" x14ac:dyDescent="0.45">
      <c r="A7" s="1"/>
      <c r="B7" s="9" t="s">
        <v>40</v>
      </c>
      <c r="C7" s="22">
        <v>12973</v>
      </c>
      <c r="D7" s="25">
        <v>1.8409284044259799E-2</v>
      </c>
    </row>
    <row r="8" spans="1:4" ht="15" customHeight="1" x14ac:dyDescent="0.45">
      <c r="A8" s="1"/>
      <c r="B8" s="11" t="s">
        <v>41</v>
      </c>
      <c r="C8" s="26">
        <v>29348</v>
      </c>
      <c r="D8" s="23">
        <f>IF(C$4=0,0,C8/C$4)</f>
        <v>4.3508297531050885E-2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271</v>
      </c>
      <c r="C10" s="22">
        <v>6447</v>
      </c>
      <c r="D10" s="23">
        <f>IF(C$4=0,0,C10/C$4)</f>
        <v>9.5576527934675293E-3</v>
      </c>
    </row>
    <row r="11" spans="1:4" ht="15" customHeight="1" x14ac:dyDescent="0.45">
      <c r="A11" s="1"/>
      <c r="B11" s="9" t="s">
        <v>272</v>
      </c>
      <c r="C11" s="22">
        <v>2245</v>
      </c>
      <c r="D11" s="25">
        <v>2.9075015300708499E-3</v>
      </c>
    </row>
    <row r="12" spans="1:4" ht="15" customHeight="1" x14ac:dyDescent="0.45">
      <c r="A12" s="1"/>
      <c r="B12" s="11" t="s">
        <v>270</v>
      </c>
      <c r="C12" s="24">
        <f>C8-C11</f>
        <v>27103</v>
      </c>
      <c r="D12" s="23">
        <f>IF(C$4=0,0,C12/C$4)</f>
        <v>4.0180093634457952E-2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42</v>
      </c>
      <c r="C14" s="22">
        <v>6152</v>
      </c>
      <c r="D14" s="25">
        <v>7.8051959297914001E-3</v>
      </c>
    </row>
    <row r="15" spans="1:4" ht="15" customHeight="1" x14ac:dyDescent="0.45">
      <c r="A15" s="1"/>
      <c r="B15" s="11" t="s">
        <v>43</v>
      </c>
      <c r="C15" s="24">
        <f>C12-C14</f>
        <v>20951</v>
      </c>
      <c r="D15" s="23">
        <f>IF(C$4=0,0,C15/C$4)</f>
        <v>3.1059777210475911E-2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44</v>
      </c>
      <c r="C17" s="28">
        <f>C15</f>
        <v>20951</v>
      </c>
      <c r="D17" s="27">
        <f>IF(C$4=0,0,C17/C$4)</f>
        <v>3.1059777210475911E-2</v>
      </c>
    </row>
    <row r="18" spans="1:4" ht="15" customHeight="1" x14ac:dyDescent="0.45">
      <c r="A18" s="1"/>
      <c r="B18" s="9" t="s">
        <v>45</v>
      </c>
      <c r="C18" s="22">
        <v>6688</v>
      </c>
      <c r="D18" s="23">
        <f>IF(C$4=0,0,C18/C$4)</f>
        <v>9.9149343698946533E-3</v>
      </c>
    </row>
    <row r="19" spans="1:4" ht="15" customHeight="1" x14ac:dyDescent="0.45">
      <c r="A19" s="1"/>
      <c r="B19" s="9" t="s">
        <v>46</v>
      </c>
      <c r="C19" s="24">
        <f>C17-C18</f>
        <v>14263</v>
      </c>
      <c r="D19" s="23">
        <f>IF(C$4=0,0,C19/C$4)</f>
        <v>2.1144842840581258E-2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47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48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49</v>
      </c>
      <c r="C4" s="8"/>
      <c r="D4" s="8"/>
    </row>
    <row r="5" spans="1:4" ht="15" customHeight="1" x14ac:dyDescent="0.45">
      <c r="A5" s="1"/>
      <c r="B5" s="9" t="s">
        <v>43</v>
      </c>
      <c r="C5" s="22">
        <f>'Income Statement'!C15</f>
        <v>20951</v>
      </c>
      <c r="D5" s="29" t="s">
        <v>50</v>
      </c>
    </row>
    <row r="6" spans="1:4" ht="15" customHeight="1" x14ac:dyDescent="0.45">
      <c r="A6" s="1"/>
      <c r="B6" s="9" t="s">
        <v>51</v>
      </c>
      <c r="C6" s="22">
        <v>12973</v>
      </c>
      <c r="D6" s="29" t="s">
        <v>50</v>
      </c>
    </row>
    <row r="7" spans="1:4" ht="15" customHeight="1" x14ac:dyDescent="0.45">
      <c r="A7" s="1"/>
      <c r="B7" s="9" t="s">
        <v>52</v>
      </c>
      <c r="C7" s="22"/>
      <c r="D7" s="29"/>
    </row>
    <row r="8" spans="1:4" ht="15" customHeight="1" x14ac:dyDescent="0.45">
      <c r="A8" s="1"/>
      <c r="B8" s="9" t="s">
        <v>53</v>
      </c>
      <c r="C8" s="22">
        <v>-1179</v>
      </c>
      <c r="D8" s="29" t="s">
        <v>54</v>
      </c>
    </row>
    <row r="9" spans="1:4" ht="15" customHeight="1" x14ac:dyDescent="0.45">
      <c r="A9" s="1"/>
      <c r="B9" s="9" t="s">
        <v>55</v>
      </c>
      <c r="C9" s="22">
        <v>-1543</v>
      </c>
      <c r="D9" s="29" t="s">
        <v>54</v>
      </c>
    </row>
    <row r="10" spans="1:4" ht="15" customHeight="1" x14ac:dyDescent="0.45">
      <c r="A10" s="1"/>
      <c r="B10" s="9" t="s">
        <v>56</v>
      </c>
      <c r="C10" s="22">
        <v>-689</v>
      </c>
      <c r="D10" s="29" t="s">
        <v>54</v>
      </c>
    </row>
    <row r="11" spans="1:4" ht="15" customHeight="1" x14ac:dyDescent="0.45">
      <c r="A11" s="1"/>
      <c r="B11" s="9" t="s">
        <v>57</v>
      </c>
      <c r="C11" s="22">
        <v>1854</v>
      </c>
      <c r="D11" s="29" t="s">
        <v>54</v>
      </c>
    </row>
    <row r="12" spans="1:4" ht="15" customHeight="1" x14ac:dyDescent="0.45">
      <c r="A12" s="1"/>
      <c r="B12" s="9" t="s">
        <v>58</v>
      </c>
      <c r="C12" s="22">
        <v>2889</v>
      </c>
      <c r="D12" s="29" t="s">
        <v>54</v>
      </c>
    </row>
    <row r="13" spans="1:4" ht="15" customHeight="1" x14ac:dyDescent="0.45">
      <c r="A13" s="1"/>
      <c r="B13" s="11" t="s">
        <v>59</v>
      </c>
      <c r="C13" s="24">
        <f>SUM(C8:C12)</f>
        <v>1332</v>
      </c>
      <c r="D13" s="29"/>
    </row>
    <row r="14" spans="1:4" ht="15" customHeight="1" x14ac:dyDescent="0.45">
      <c r="A14" s="1"/>
      <c r="B14" s="11" t="s">
        <v>60</v>
      </c>
      <c r="C14" s="24">
        <f>C5+C6+C13</f>
        <v>35256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61</v>
      </c>
      <c r="C16" s="8">
        <v>-23783</v>
      </c>
      <c r="D16" s="8"/>
    </row>
    <row r="17" spans="1:4" ht="15" customHeight="1" x14ac:dyDescent="0.45">
      <c r="A17" s="1"/>
      <c r="B17" s="9" t="s">
        <v>62</v>
      </c>
      <c r="C17" s="22">
        <v>2616</v>
      </c>
      <c r="D17" s="29"/>
    </row>
    <row r="18" spans="1:4" ht="15" customHeight="1" x14ac:dyDescent="0.45">
      <c r="A18" s="1"/>
      <c r="B18" s="9" t="s">
        <v>63</v>
      </c>
      <c r="C18" s="22">
        <v>-212</v>
      </c>
      <c r="D18" s="29"/>
    </row>
    <row r="19" spans="1:4" ht="15" customHeight="1" x14ac:dyDescent="0.45">
      <c r="A19" s="1"/>
      <c r="B19" s="9" t="s">
        <v>64</v>
      </c>
      <c r="C19" s="22">
        <v>-4012</v>
      </c>
      <c r="D19" s="29"/>
    </row>
    <row r="20" spans="1:4" ht="15" customHeight="1" x14ac:dyDescent="0.45">
      <c r="A20" s="1"/>
      <c r="B20" s="11" t="s">
        <v>65</v>
      </c>
      <c r="C20" s="24">
        <f>SUM(C16:C18)</f>
        <v>-21379</v>
      </c>
      <c r="D20" s="29"/>
    </row>
    <row r="21" spans="1:4" ht="6" customHeight="1" x14ac:dyDescent="0.45">
      <c r="A21" s="1"/>
      <c r="B21" s="1"/>
      <c r="C21" s="1">
        <v>2212</v>
      </c>
      <c r="D21" s="1"/>
    </row>
    <row r="22" spans="1:4" ht="15.75" customHeight="1" x14ac:dyDescent="0.45">
      <c r="A22" s="1"/>
      <c r="B22" s="7" t="s">
        <v>66</v>
      </c>
      <c r="C22" s="8">
        <v>2212</v>
      </c>
      <c r="D22" s="8"/>
    </row>
    <row r="23" spans="1:4" ht="15" customHeight="1" x14ac:dyDescent="0.45">
      <c r="A23" s="1"/>
      <c r="B23" s="9" t="s">
        <v>67</v>
      </c>
      <c r="C23" s="22">
        <v>-3468</v>
      </c>
      <c r="D23" s="29"/>
    </row>
    <row r="24" spans="1:4" ht="15" customHeight="1" x14ac:dyDescent="0.45">
      <c r="A24" s="1"/>
      <c r="B24" s="9" t="s">
        <v>68</v>
      </c>
      <c r="C24" s="22">
        <v>-6688</v>
      </c>
      <c r="D24" s="29"/>
    </row>
    <row r="25" spans="1:4" ht="15" customHeight="1" x14ac:dyDescent="0.45">
      <c r="A25" s="1"/>
      <c r="B25" s="9" t="s">
        <v>69</v>
      </c>
      <c r="C25" s="22">
        <v>-4494</v>
      </c>
      <c r="D25" s="29"/>
    </row>
    <row r="26" spans="1:4" ht="15" customHeight="1" x14ac:dyDescent="0.45">
      <c r="A26" s="1"/>
      <c r="B26" s="9" t="s">
        <v>70</v>
      </c>
      <c r="C26" s="22">
        <v>-2384</v>
      </c>
      <c r="D26" s="29"/>
    </row>
    <row r="27" spans="1:4" ht="15" customHeight="1" x14ac:dyDescent="0.45">
      <c r="A27" s="1"/>
      <c r="B27" s="9" t="s">
        <v>71</v>
      </c>
      <c r="C27" s="22"/>
      <c r="D27" s="29"/>
    </row>
    <row r="28" spans="1:4" ht="15" customHeight="1" x14ac:dyDescent="0.45">
      <c r="A28" s="1"/>
      <c r="B28" s="11" t="s">
        <v>72</v>
      </c>
      <c r="C28" s="24">
        <f>SUM(C22:C26)</f>
        <v>-14822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73</v>
      </c>
      <c r="C30" s="24">
        <f>C14+C20+C28-641</f>
        <v>-1586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28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74</v>
      </c>
      <c r="C1" s="1"/>
      <c r="D1" s="1"/>
      <c r="E1" s="1"/>
    </row>
    <row r="2" spans="1:5" ht="18" customHeight="1" x14ac:dyDescent="0.45">
      <c r="A2" s="1"/>
      <c r="B2" s="20" t="s">
        <v>75</v>
      </c>
      <c r="C2" s="20" t="s">
        <v>76</v>
      </c>
      <c r="D2" s="20" t="s">
        <v>77</v>
      </c>
      <c r="E2" s="20" t="s">
        <v>78</v>
      </c>
    </row>
    <row r="3" spans="1:5" ht="15" customHeight="1" x14ac:dyDescent="0.45">
      <c r="A3" s="1"/>
      <c r="B3" s="9" t="s">
        <v>79</v>
      </c>
      <c r="C3" s="30">
        <v>2025</v>
      </c>
      <c r="D3" s="31"/>
      <c r="E3" s="32" t="s">
        <v>80</v>
      </c>
    </row>
    <row r="4" spans="1:5" ht="15" customHeight="1" x14ac:dyDescent="0.45">
      <c r="A4" s="1"/>
      <c r="B4" s="9" t="s">
        <v>81</v>
      </c>
      <c r="C4" s="30">
        <v>2024</v>
      </c>
      <c r="D4" s="31" t="s">
        <v>82</v>
      </c>
      <c r="E4" s="32" t="s">
        <v>83</v>
      </c>
    </row>
    <row r="5" spans="1:5" ht="15" customHeight="1" x14ac:dyDescent="0.45">
      <c r="A5" s="1"/>
      <c r="B5" s="9" t="s">
        <v>84</v>
      </c>
      <c r="C5" s="30">
        <v>95.08</v>
      </c>
      <c r="D5" s="31"/>
      <c r="E5" s="32" t="s">
        <v>85</v>
      </c>
    </row>
    <row r="6" spans="1:5" ht="15" customHeight="1" x14ac:dyDescent="0.45">
      <c r="A6" s="1"/>
      <c r="B6" s="9" t="s">
        <v>86</v>
      </c>
      <c r="C6" s="30">
        <v>8017</v>
      </c>
      <c r="D6" s="31"/>
      <c r="E6" s="32" t="s">
        <v>87</v>
      </c>
    </row>
    <row r="7" spans="1:5" ht="15" customHeight="1" x14ac:dyDescent="0.45">
      <c r="A7" s="1"/>
      <c r="B7" s="9" t="s">
        <v>88</v>
      </c>
      <c r="C7" s="30">
        <v>6.5000000000000002E-2</v>
      </c>
      <c r="D7" s="31"/>
      <c r="E7" s="32" t="s">
        <v>89</v>
      </c>
    </row>
    <row r="8" spans="1:5" ht="15" customHeight="1" x14ac:dyDescent="0.45">
      <c r="A8" s="1"/>
      <c r="B8" s="9" t="s">
        <v>90</v>
      </c>
      <c r="C8" s="30">
        <v>0.215</v>
      </c>
      <c r="D8" s="31"/>
      <c r="E8" s="32" t="s">
        <v>91</v>
      </c>
    </row>
    <row r="9" spans="1:5" ht="15" customHeight="1" x14ac:dyDescent="0.45">
      <c r="A9" s="1"/>
      <c r="B9" s="9" t="s">
        <v>92</v>
      </c>
      <c r="C9" s="33">
        <f>C5*C6</f>
        <v>762256.36</v>
      </c>
      <c r="D9" s="31" t="s">
        <v>93</v>
      </c>
      <c r="E9" s="32" t="s">
        <v>94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95</v>
      </c>
      <c r="C11" s="8"/>
      <c r="D11" s="8"/>
      <c r="E11" s="8"/>
    </row>
    <row r="12" spans="1:5" ht="15" customHeight="1" x14ac:dyDescent="0.45">
      <c r="A12" s="1"/>
      <c r="B12" s="9" t="s">
        <v>96</v>
      </c>
      <c r="C12" s="24">
        <f>'Balance Sheet'!H18</f>
        <v>90349</v>
      </c>
      <c r="D12" s="31" t="s">
        <v>97</v>
      </c>
      <c r="E12" s="32" t="s">
        <v>98</v>
      </c>
    </row>
    <row r="13" spans="1:5" ht="15" customHeight="1" x14ac:dyDescent="0.45">
      <c r="A13" s="1"/>
      <c r="B13" s="9" t="s">
        <v>99</v>
      </c>
      <c r="C13" s="24">
        <f>'Balance Sheet'!D7</f>
        <v>54892</v>
      </c>
      <c r="D13" s="31" t="s">
        <v>100</v>
      </c>
      <c r="E13" s="32" t="s">
        <v>101</v>
      </c>
    </row>
    <row r="14" spans="1:5" ht="15" customHeight="1" x14ac:dyDescent="0.45">
      <c r="A14" s="1"/>
      <c r="B14" s="9" t="s">
        <v>102</v>
      </c>
      <c r="C14" s="24">
        <f>'Balance Sheet'!D6</f>
        <v>8796</v>
      </c>
      <c r="D14" s="31" t="s">
        <v>103</v>
      </c>
      <c r="E14" s="32" t="s">
        <v>104</v>
      </c>
    </row>
    <row r="15" spans="1:5" ht="15" customHeight="1" x14ac:dyDescent="0.45">
      <c r="A15" s="1"/>
      <c r="B15" s="9" t="s">
        <v>105</v>
      </c>
      <c r="C15" s="24">
        <f>'Balance Sheet'!D20</f>
        <v>252399</v>
      </c>
      <c r="D15" s="31" t="s">
        <v>106</v>
      </c>
      <c r="E15" s="32" t="s">
        <v>107</v>
      </c>
    </row>
    <row r="16" spans="1:5" ht="15" customHeight="1" x14ac:dyDescent="0.45">
      <c r="A16" s="1"/>
      <c r="B16" s="9" t="s">
        <v>108</v>
      </c>
      <c r="C16" s="24">
        <f>'Balance Sheet'!H10+'Balance Sheet'!H18</f>
        <v>126481</v>
      </c>
      <c r="D16" s="31" t="s">
        <v>109</v>
      </c>
      <c r="E16" s="32" t="s">
        <v>110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111</v>
      </c>
      <c r="C18" s="8"/>
      <c r="D18" s="8"/>
      <c r="E18" s="8"/>
    </row>
    <row r="19" spans="1:5" ht="15" customHeight="1" x14ac:dyDescent="0.45">
      <c r="A19" s="1"/>
      <c r="B19" s="9" t="s">
        <v>112</v>
      </c>
      <c r="C19" s="34">
        <f>'Income Statement'!C15+(1-C8)*'Income Statement'!C11</f>
        <v>22713.325000000001</v>
      </c>
      <c r="D19" s="31" t="s">
        <v>274</v>
      </c>
      <c r="E19" s="32" t="s">
        <v>113</v>
      </c>
    </row>
    <row r="20" spans="1:5" ht="15" customHeight="1" x14ac:dyDescent="0.45">
      <c r="A20" s="1"/>
      <c r="B20" s="9" t="s">
        <v>114</v>
      </c>
      <c r="C20" s="33">
        <f>'Income Statement'!C4/365</f>
        <v>1848.0493150684931</v>
      </c>
      <c r="D20" s="31" t="s">
        <v>115</v>
      </c>
      <c r="E20" s="32" t="s">
        <v>116</v>
      </c>
    </row>
    <row r="21" spans="1:5" ht="15" customHeight="1" x14ac:dyDescent="0.45">
      <c r="A21" s="1"/>
      <c r="B21" s="9" t="s">
        <v>117</v>
      </c>
      <c r="C21" s="24">
        <f>'Balance Sheet'!G18</f>
        <v>97421</v>
      </c>
      <c r="D21" s="31" t="s">
        <v>118</v>
      </c>
      <c r="E21" s="32" t="s">
        <v>119</v>
      </c>
    </row>
    <row r="22" spans="1:5" ht="15" customHeight="1" x14ac:dyDescent="0.45">
      <c r="A22" s="1"/>
      <c r="B22" s="9" t="s">
        <v>120</v>
      </c>
      <c r="C22" s="24">
        <f>'Balance Sheet'!C5</f>
        <v>9037</v>
      </c>
      <c r="D22" s="31" t="s">
        <v>121</v>
      </c>
      <c r="E22" s="32" t="s">
        <v>122</v>
      </c>
    </row>
    <row r="23" spans="1:5" ht="15" customHeight="1" x14ac:dyDescent="0.45">
      <c r="A23" s="1"/>
      <c r="B23" s="9" t="s">
        <v>123</v>
      </c>
      <c r="C23" s="24">
        <f>'Balance Sheet'!C9</f>
        <v>79458</v>
      </c>
      <c r="D23" s="31" t="s">
        <v>124</v>
      </c>
      <c r="E23" s="32" t="s">
        <v>125</v>
      </c>
    </row>
    <row r="24" spans="1:5" ht="15" customHeight="1" x14ac:dyDescent="0.45">
      <c r="A24" s="1"/>
      <c r="B24" s="9" t="s">
        <v>126</v>
      </c>
      <c r="C24" s="24">
        <f>'Balance Sheet'!G8</f>
        <v>96584</v>
      </c>
      <c r="D24" s="31" t="s">
        <v>127</v>
      </c>
      <c r="E24" s="32" t="s">
        <v>128</v>
      </c>
    </row>
    <row r="25" spans="1:5" ht="15" customHeight="1" x14ac:dyDescent="0.45">
      <c r="A25" s="1"/>
      <c r="B25" s="9" t="s">
        <v>129</v>
      </c>
      <c r="C25" s="33">
        <f>'Income Statement'!C5/365</f>
        <v>1402.0630136986301</v>
      </c>
      <c r="D25" s="31" t="s">
        <v>130</v>
      </c>
      <c r="E25" s="32" t="s">
        <v>131</v>
      </c>
    </row>
    <row r="26" spans="1:5" ht="15" customHeight="1" x14ac:dyDescent="0.45">
      <c r="A26" s="1"/>
      <c r="B26" s="9" t="s">
        <v>132</v>
      </c>
      <c r="C26" s="24">
        <f>'Balance Sheet'!G10</f>
        <v>33401</v>
      </c>
      <c r="D26" s="31" t="s">
        <v>133</v>
      </c>
      <c r="E26" s="32" t="s">
        <v>134</v>
      </c>
    </row>
    <row r="27" spans="1:5" ht="15" customHeight="1" x14ac:dyDescent="0.45">
      <c r="A27" s="1"/>
      <c r="B27" s="9" t="s">
        <v>135</v>
      </c>
      <c r="C27" s="24">
        <f>'Balance Sheet'!C9-'Balance Sheet'!G8</f>
        <v>-17126</v>
      </c>
      <c r="D27" s="31" t="s">
        <v>136</v>
      </c>
      <c r="E27" s="32" t="s">
        <v>137</v>
      </c>
    </row>
    <row r="28" spans="1:5" ht="15" customHeight="1" x14ac:dyDescent="0.45">
      <c r="A28" s="1"/>
      <c r="B28" s="9" t="s">
        <v>138</v>
      </c>
      <c r="C28" s="24">
        <f>'Balance Sheet'!C20</f>
        <v>260823</v>
      </c>
      <c r="D28" s="31" t="s">
        <v>139</v>
      </c>
      <c r="E28" s="32" t="s">
        <v>140</v>
      </c>
    </row>
    <row r="29" spans="1:5" ht="15" customHeight="1" x14ac:dyDescent="0.45">
      <c r="A29" s="1"/>
      <c r="B29" s="9" t="s">
        <v>141</v>
      </c>
      <c r="C29" s="24">
        <f>'Balance Sheet'!G10+'Balance Sheet'!G18</f>
        <v>130822</v>
      </c>
      <c r="D29" s="31" t="s">
        <v>142</v>
      </c>
      <c r="E29" s="32" t="s">
        <v>143</v>
      </c>
    </row>
    <row r="30" spans="1:5" ht="15" customHeight="1" x14ac:dyDescent="0.45">
      <c r="A30" s="1"/>
      <c r="B30" s="9" t="s">
        <v>144</v>
      </c>
      <c r="C30" s="24">
        <f>'Balance Sheet'!G13</f>
        <v>163402</v>
      </c>
      <c r="D30" s="31" t="s">
        <v>145</v>
      </c>
      <c r="E30" s="32" t="s">
        <v>146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147</v>
      </c>
      <c r="C32" s="8"/>
      <c r="D32" s="8"/>
      <c r="E32" s="8"/>
    </row>
    <row r="33" spans="1:5" ht="15" customHeight="1" x14ac:dyDescent="0.45">
      <c r="A33" s="1"/>
      <c r="B33" s="9" t="s">
        <v>148</v>
      </c>
      <c r="C33" s="24">
        <f>AVERAGE(C12,C21)</f>
        <v>93885</v>
      </c>
      <c r="D33" s="31" t="s">
        <v>149</v>
      </c>
      <c r="E33" s="32" t="s">
        <v>150</v>
      </c>
    </row>
    <row r="34" spans="1:5" ht="15" customHeight="1" x14ac:dyDescent="0.45">
      <c r="A34" s="1"/>
      <c r="B34" s="9" t="s">
        <v>151</v>
      </c>
      <c r="C34" s="24">
        <f>AVERAGE(C15,C28)</f>
        <v>256611</v>
      </c>
      <c r="D34" s="31" t="s">
        <v>152</v>
      </c>
      <c r="E34" s="32" t="s">
        <v>153</v>
      </c>
    </row>
    <row r="35" spans="1:5" ht="15" customHeight="1" x14ac:dyDescent="0.45">
      <c r="A35" s="1"/>
      <c r="B35" s="9" t="s">
        <v>154</v>
      </c>
      <c r="C35" s="24">
        <f>AVERAGE(C16,C29)</f>
        <v>128651.5</v>
      </c>
      <c r="D35" s="31" t="s">
        <v>155</v>
      </c>
      <c r="E35" s="32" t="s">
        <v>156</v>
      </c>
    </row>
    <row r="36" spans="1:5" ht="15" customHeight="1" x14ac:dyDescent="0.45">
      <c r="A36" s="1"/>
      <c r="B36" s="9" t="s">
        <v>157</v>
      </c>
      <c r="C36" s="24">
        <f>C26+C21</f>
        <v>130822</v>
      </c>
      <c r="D36" s="31" t="s">
        <v>158</v>
      </c>
      <c r="E36" s="32" t="s">
        <v>159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160</v>
      </c>
      <c r="C39" s="20" t="s">
        <v>161</v>
      </c>
      <c r="D39" s="20" t="s">
        <v>162</v>
      </c>
      <c r="E39" s="20" t="s">
        <v>78</v>
      </c>
    </row>
    <row r="40" spans="1:5" ht="15.75" customHeight="1" x14ac:dyDescent="0.45">
      <c r="A40" s="1"/>
      <c r="B40" s="7" t="s">
        <v>163</v>
      </c>
      <c r="C40" s="8"/>
      <c r="D40" s="8"/>
      <c r="E40" s="8"/>
    </row>
    <row r="41" spans="1:5" ht="15" customHeight="1" x14ac:dyDescent="0.45">
      <c r="A41" s="1"/>
      <c r="B41" s="9" t="s">
        <v>164</v>
      </c>
      <c r="C41" s="35"/>
      <c r="D41" s="31" t="s">
        <v>165</v>
      </c>
      <c r="E41" s="32"/>
    </row>
    <row r="42" spans="1:5" ht="15" customHeight="1" x14ac:dyDescent="0.45">
      <c r="A42" s="1"/>
      <c r="B42" s="9" t="s">
        <v>166</v>
      </c>
      <c r="C42" s="35"/>
      <c r="D42" s="31" t="s">
        <v>167</v>
      </c>
      <c r="E42" s="32"/>
    </row>
    <row r="43" spans="1:5" ht="15" customHeight="1" x14ac:dyDescent="0.45">
      <c r="A43" s="1"/>
      <c r="B43" s="9" t="s">
        <v>168</v>
      </c>
      <c r="C43" s="35"/>
      <c r="D43" s="31" t="s">
        <v>169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170</v>
      </c>
      <c r="C45" s="8"/>
      <c r="D45" s="8"/>
      <c r="E45" s="8"/>
    </row>
    <row r="46" spans="1:5" ht="15" customHeight="1" x14ac:dyDescent="0.45">
      <c r="A46" s="1"/>
      <c r="B46" s="9" t="s">
        <v>171</v>
      </c>
      <c r="C46" s="35"/>
      <c r="D46" s="31" t="s">
        <v>172</v>
      </c>
      <c r="E46" s="32"/>
    </row>
    <row r="47" spans="1:5" ht="15" customHeight="1" x14ac:dyDescent="0.45">
      <c r="A47" s="1"/>
      <c r="B47" s="9" t="s">
        <v>173</v>
      </c>
      <c r="C47" s="35"/>
      <c r="D47" s="31" t="s">
        <v>174</v>
      </c>
      <c r="E47" s="32"/>
    </row>
    <row r="48" spans="1:5" ht="15" customHeight="1" x14ac:dyDescent="0.45">
      <c r="A48" s="1"/>
      <c r="B48" s="9" t="s">
        <v>175</v>
      </c>
      <c r="C48" s="35"/>
      <c r="D48" s="31" t="s">
        <v>176</v>
      </c>
      <c r="E48" s="32"/>
    </row>
    <row r="49" spans="1:5" ht="15" customHeight="1" x14ac:dyDescent="0.45">
      <c r="A49" s="1"/>
      <c r="B49" s="9" t="s">
        <v>177</v>
      </c>
      <c r="C49" s="35"/>
      <c r="D49" s="31" t="s">
        <v>178</v>
      </c>
      <c r="E49" s="32"/>
    </row>
    <row r="50" spans="1:5" ht="15" customHeight="1" x14ac:dyDescent="0.45">
      <c r="A50" s="1"/>
      <c r="B50" s="9" t="s">
        <v>179</v>
      </c>
      <c r="C50" s="35"/>
      <c r="D50" s="31" t="s">
        <v>180</v>
      </c>
      <c r="E50" s="32"/>
    </row>
    <row r="51" spans="1:5" ht="15" customHeight="1" x14ac:dyDescent="0.45">
      <c r="A51" s="1"/>
      <c r="B51" s="9" t="s">
        <v>181</v>
      </c>
      <c r="C51" s="35"/>
      <c r="D51" s="31" t="s">
        <v>182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183</v>
      </c>
      <c r="C53" s="8"/>
      <c r="D53" s="8"/>
      <c r="E53" s="8"/>
    </row>
    <row r="54" spans="1:5" ht="15" customHeight="1" x14ac:dyDescent="0.45">
      <c r="A54" s="1"/>
      <c r="B54" s="9" t="s">
        <v>184</v>
      </c>
      <c r="C54" s="35"/>
      <c r="D54" s="31" t="s">
        <v>185</v>
      </c>
      <c r="E54" s="32" t="s">
        <v>186</v>
      </c>
    </row>
    <row r="55" spans="1:5" ht="15" customHeight="1" x14ac:dyDescent="0.45">
      <c r="A55" s="1"/>
      <c r="B55" s="9" t="s">
        <v>187</v>
      </c>
      <c r="C55" s="35"/>
      <c r="D55" s="31" t="s">
        <v>188</v>
      </c>
      <c r="E55" s="32"/>
    </row>
    <row r="56" spans="1:5" ht="15" customHeight="1" x14ac:dyDescent="0.45">
      <c r="A56" s="1"/>
      <c r="B56" s="9" t="s">
        <v>189</v>
      </c>
      <c r="C56" s="35"/>
      <c r="D56" s="31" t="s">
        <v>190</v>
      </c>
      <c r="E56" s="32"/>
    </row>
    <row r="57" spans="1:5" ht="15" customHeight="1" x14ac:dyDescent="0.45">
      <c r="A57" s="1"/>
      <c r="B57" s="9" t="s">
        <v>191</v>
      </c>
      <c r="C57" s="35"/>
      <c r="D57" s="31" t="s">
        <v>192</v>
      </c>
      <c r="E57" s="32"/>
    </row>
    <row r="58" spans="1:5" ht="15" customHeight="1" x14ac:dyDescent="0.45">
      <c r="A58" s="1"/>
      <c r="B58" s="9" t="s">
        <v>193</v>
      </c>
      <c r="C58" s="35"/>
      <c r="D58" s="31" t="s">
        <v>194</v>
      </c>
      <c r="E58" s="32"/>
    </row>
    <row r="59" spans="1:5" ht="15" customHeight="1" x14ac:dyDescent="0.45">
      <c r="A59" s="1"/>
      <c r="B59" s="9" t="s">
        <v>195</v>
      </c>
      <c r="C59" s="35"/>
      <c r="D59" s="31" t="s">
        <v>196</v>
      </c>
      <c r="E59" s="32"/>
    </row>
    <row r="60" spans="1:5" ht="15" customHeight="1" x14ac:dyDescent="0.45">
      <c r="A60" s="1"/>
      <c r="B60" s="9" t="s">
        <v>197</v>
      </c>
      <c r="C60" s="35"/>
      <c r="D60" s="31" t="s">
        <v>198</v>
      </c>
      <c r="E60" s="32" t="s">
        <v>199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200</v>
      </c>
      <c r="C62" s="8"/>
      <c r="D62" s="8"/>
      <c r="E62" s="8"/>
    </row>
    <row r="63" spans="1:5" ht="15" customHeight="1" x14ac:dyDescent="0.45">
      <c r="A63" s="1"/>
      <c r="B63" s="9" t="s">
        <v>201</v>
      </c>
      <c r="C63" s="35"/>
      <c r="D63" s="31" t="s">
        <v>202</v>
      </c>
      <c r="E63" s="32"/>
    </row>
    <row r="64" spans="1:5" ht="15" customHeight="1" x14ac:dyDescent="0.45">
      <c r="A64" s="1"/>
      <c r="B64" s="9" t="s">
        <v>203</v>
      </c>
      <c r="C64" s="35"/>
      <c r="D64" s="31" t="s">
        <v>204</v>
      </c>
      <c r="E64" s="32"/>
    </row>
    <row r="65" spans="1:5" ht="15" customHeight="1" x14ac:dyDescent="0.45">
      <c r="A65" s="1"/>
      <c r="B65" s="9" t="s">
        <v>205</v>
      </c>
      <c r="C65" s="35"/>
      <c r="D65" s="31" t="s">
        <v>206</v>
      </c>
      <c r="E65" s="32"/>
    </row>
    <row r="66" spans="1:5" ht="15" customHeight="1" x14ac:dyDescent="0.45">
      <c r="A66" s="1"/>
      <c r="B66" s="9" t="s">
        <v>207</v>
      </c>
      <c r="C66" s="35"/>
      <c r="D66" s="31" t="s">
        <v>275</v>
      </c>
      <c r="E66" s="32"/>
    </row>
    <row r="67" spans="1:5" ht="15" customHeight="1" x14ac:dyDescent="0.45">
      <c r="A67" s="1"/>
      <c r="B67" s="9" t="s">
        <v>208</v>
      </c>
      <c r="C67" s="35"/>
      <c r="D67" s="31" t="s">
        <v>276</v>
      </c>
      <c r="E67" s="32"/>
    </row>
    <row r="68" spans="1:5" ht="15" customHeight="1" x14ac:dyDescent="0.45">
      <c r="A68" s="1"/>
      <c r="B68" s="9" t="s">
        <v>209</v>
      </c>
      <c r="C68" s="35"/>
      <c r="D68" s="31" t="s">
        <v>210</v>
      </c>
      <c r="E68" s="32" t="s">
        <v>211</v>
      </c>
    </row>
    <row r="69" spans="1:5" ht="15" customHeight="1" x14ac:dyDescent="0.45">
      <c r="A69" s="1"/>
      <c r="B69" s="9" t="s">
        <v>212</v>
      </c>
      <c r="C69" s="35"/>
      <c r="D69" s="31" t="s">
        <v>213</v>
      </c>
      <c r="E69" s="32" t="s">
        <v>214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215</v>
      </c>
      <c r="C71" s="8"/>
      <c r="D71" s="8"/>
      <c r="E71" s="8"/>
    </row>
    <row r="72" spans="1:5" ht="15" customHeight="1" x14ac:dyDescent="0.45">
      <c r="A72" s="1"/>
      <c r="B72" s="9" t="s">
        <v>216</v>
      </c>
      <c r="C72" s="35"/>
      <c r="D72" s="31" t="s">
        <v>217</v>
      </c>
      <c r="E72" s="32"/>
    </row>
    <row r="73" spans="1:5" ht="15" customHeight="1" x14ac:dyDescent="0.45">
      <c r="A73" s="1"/>
      <c r="B73" s="9" t="s">
        <v>218</v>
      </c>
      <c r="C73" s="35"/>
      <c r="D73" s="31" t="s">
        <v>219</v>
      </c>
      <c r="E73" s="32"/>
    </row>
    <row r="74" spans="1:5" ht="15" customHeight="1" x14ac:dyDescent="0.45">
      <c r="A74" s="1"/>
      <c r="B74" s="9" t="s">
        <v>220</v>
      </c>
      <c r="C74" s="35"/>
      <c r="D74" s="31" t="s">
        <v>273</v>
      </c>
      <c r="E74" s="32"/>
    </row>
    <row r="75" spans="1:5" ht="15" customHeight="1" x14ac:dyDescent="0.45">
      <c r="A75" s="1"/>
      <c r="B75" s="9" t="s">
        <v>221</v>
      </c>
      <c r="C75" s="35"/>
      <c r="D75" s="31" t="s">
        <v>222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223</v>
      </c>
      <c r="C77" s="8"/>
      <c r="D77" s="8"/>
      <c r="E77" s="8"/>
    </row>
    <row r="78" spans="1:5" ht="15" customHeight="1" x14ac:dyDescent="0.45">
      <c r="A78" s="1"/>
      <c r="B78" s="9" t="s">
        <v>224</v>
      </c>
      <c r="C78" s="35"/>
      <c r="D78" s="31" t="s">
        <v>225</v>
      </c>
      <c r="E78" s="32"/>
    </row>
    <row r="79" spans="1:5" ht="15" customHeight="1" x14ac:dyDescent="0.45">
      <c r="A79" s="1"/>
      <c r="B79" s="36" t="s">
        <v>226</v>
      </c>
      <c r="C79" s="35"/>
      <c r="D79" s="31" t="s">
        <v>227</v>
      </c>
      <c r="E79" s="32" t="s">
        <v>186</v>
      </c>
    </row>
    <row r="80" spans="1:5" ht="15" customHeight="1" x14ac:dyDescent="0.45">
      <c r="A80" s="1"/>
      <c r="B80" s="36" t="s">
        <v>228</v>
      </c>
      <c r="C80" s="35"/>
      <c r="D80" s="31" t="s">
        <v>227</v>
      </c>
      <c r="E80" s="32" t="s">
        <v>199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229</v>
      </c>
      <c r="C82" s="35"/>
      <c r="D82" s="31" t="s">
        <v>230</v>
      </c>
      <c r="E82" s="32"/>
    </row>
    <row r="83" spans="1:5" ht="15" customHeight="1" x14ac:dyDescent="0.45">
      <c r="A83" s="1"/>
      <c r="B83" s="36" t="s">
        <v>231</v>
      </c>
      <c r="C83" s="35"/>
      <c r="D83" s="31" t="s">
        <v>232</v>
      </c>
      <c r="E83" s="32" t="s">
        <v>214</v>
      </c>
    </row>
    <row r="84" spans="1:5" ht="15" customHeight="1" x14ac:dyDescent="0.45">
      <c r="A84" s="1"/>
      <c r="B84" s="36" t="s">
        <v>226</v>
      </c>
      <c r="C84" s="35"/>
      <c r="D84" s="31" t="s">
        <v>227</v>
      </c>
      <c r="E84" s="32" t="s">
        <v>186</v>
      </c>
    </row>
    <row r="85" spans="1:5" ht="15" customHeight="1" x14ac:dyDescent="0.45">
      <c r="A85" s="1"/>
      <c r="B85" s="36" t="s">
        <v>228</v>
      </c>
      <c r="C85" s="35"/>
      <c r="D85" s="31" t="s">
        <v>227</v>
      </c>
      <c r="E85" s="32" t="s">
        <v>199</v>
      </c>
    </row>
    <row r="86" spans="1:5" ht="15" customHeight="1" x14ac:dyDescent="0.45">
      <c r="A86" s="1"/>
      <c r="B86" s="36" t="s">
        <v>233</v>
      </c>
      <c r="C86" s="35"/>
      <c r="D86" s="31" t="s">
        <v>232</v>
      </c>
      <c r="E86" s="32" t="s">
        <v>211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234</v>
      </c>
      <c r="C89" s="38" t="s">
        <v>235</v>
      </c>
      <c r="D89" s="39" t="s">
        <v>236</v>
      </c>
      <c r="E89" s="40" t="s">
        <v>237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238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239</v>
      </c>
      <c r="C3" s="43" t="s">
        <v>240</v>
      </c>
    </row>
    <row r="4" spans="1:3" ht="15" customHeight="1" x14ac:dyDescent="0.45">
      <c r="A4" s="1"/>
      <c r="B4" s="42" t="s">
        <v>241</v>
      </c>
      <c r="C4" s="43" t="s">
        <v>242</v>
      </c>
    </row>
    <row r="5" spans="1:3" ht="15" customHeight="1" x14ac:dyDescent="0.45">
      <c r="A5" s="1"/>
      <c r="B5" s="42" t="s">
        <v>243</v>
      </c>
      <c r="C5" s="43" t="s">
        <v>244</v>
      </c>
    </row>
    <row r="6" spans="1:3" ht="15" customHeight="1" x14ac:dyDescent="0.45">
      <c r="A6" s="1"/>
      <c r="B6" s="42" t="s">
        <v>245</v>
      </c>
      <c r="C6" s="43" t="s">
        <v>2</v>
      </c>
    </row>
    <row r="7" spans="1:3" ht="15" customHeight="1" x14ac:dyDescent="0.45">
      <c r="A7" s="1"/>
      <c r="B7" s="42" t="s">
        <v>246</v>
      </c>
      <c r="C7" s="43" t="s">
        <v>3</v>
      </c>
    </row>
    <row r="8" spans="1:3" ht="15" customHeight="1" x14ac:dyDescent="0.45">
      <c r="A8" s="1"/>
      <c r="B8" s="42" t="s">
        <v>247</v>
      </c>
      <c r="C8" s="43" t="s">
        <v>248</v>
      </c>
    </row>
    <row r="9" spans="1:3" ht="15" customHeight="1" x14ac:dyDescent="0.45">
      <c r="A9" s="1"/>
      <c r="B9" s="42" t="s">
        <v>249</v>
      </c>
      <c r="C9" s="43" t="s">
        <v>250</v>
      </c>
    </row>
    <row r="10" spans="1:3" ht="15" customHeight="1" x14ac:dyDescent="0.45">
      <c r="A10" s="1"/>
      <c r="B10" s="42" t="s">
        <v>251</v>
      </c>
      <c r="C10" s="43" t="s">
        <v>252</v>
      </c>
    </row>
    <row r="11" spans="1:3" ht="15" customHeight="1" x14ac:dyDescent="0.45">
      <c r="A11" s="1"/>
      <c r="B11" s="42" t="s">
        <v>253</v>
      </c>
      <c r="C11" s="43" t="s">
        <v>254</v>
      </c>
    </row>
    <row r="12" spans="1:3" ht="15" customHeight="1" x14ac:dyDescent="0.45">
      <c r="A12" s="1"/>
      <c r="B12" s="42" t="s">
        <v>255</v>
      </c>
      <c r="C12" s="43" t="s">
        <v>256</v>
      </c>
    </row>
    <row r="13" spans="1:3" ht="15" customHeight="1" x14ac:dyDescent="0.45">
      <c r="A13" s="1"/>
      <c r="B13" s="42" t="s">
        <v>257</v>
      </c>
      <c r="C13" s="43" t="s">
        <v>258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259</v>
      </c>
      <c r="C15" s="43" t="s">
        <v>260</v>
      </c>
    </row>
    <row r="16" spans="1:3" ht="15" customHeight="1" x14ac:dyDescent="0.45">
      <c r="A16" s="1"/>
      <c r="B16" s="42" t="s">
        <v>261</v>
      </c>
      <c r="C16" s="43" t="s">
        <v>262</v>
      </c>
    </row>
    <row r="17" spans="1:3" ht="15" customHeight="1" x14ac:dyDescent="0.45">
      <c r="A17" s="1"/>
      <c r="B17" s="42" t="s">
        <v>263</v>
      </c>
      <c r="C17" s="43" t="s">
        <v>264</v>
      </c>
    </row>
    <row r="18" spans="1:3" ht="15" customHeight="1" x14ac:dyDescent="0.45">
      <c r="A18" s="1"/>
      <c r="B18" s="42" t="s">
        <v>265</v>
      </c>
      <c r="C18" s="43" t="s">
        <v>266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267</v>
      </c>
      <c r="C20" s="43" t="s">
        <v>268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2026-04-03T00:45:40Z</dcterms:modified>
  <dc:language>en-US</dc:language>
</cp:coreProperties>
</file>