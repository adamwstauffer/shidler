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shidler\BUS-314-International-Corporate-Finance\accounting-ratios\_scenarios\"/>
    </mc:Choice>
  </mc:AlternateContent>
  <xr:revisionPtr revIDLastSave="0" documentId="13_ncr:1_{DFCC02F8-A5A3-4A22-8B94-C6FCE4C13CBA}" xr6:coauthVersionLast="47" xr6:coauthVersionMax="47" xr10:uidLastSave="{00000000-0000-0000-0000-000000000000}"/>
  <bookViews>
    <workbookView xWindow="-110" yWindow="-110" windowWidth="25820" windowHeight="1550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C15" i="2"/>
  <c r="C12" i="2"/>
  <c r="C8" i="2"/>
  <c r="C26" i="4" l="1"/>
  <c r="C25" i="4"/>
  <c r="C22" i="4"/>
  <c r="C20" i="4"/>
  <c r="C14" i="4"/>
  <c r="C13" i="4"/>
  <c r="C9" i="4"/>
  <c r="C28" i="3"/>
  <c r="C20" i="3"/>
  <c r="C13" i="3"/>
  <c r="C14" i="3" s="1"/>
  <c r="D18" i="2"/>
  <c r="D16" i="2"/>
  <c r="D13" i="2"/>
  <c r="D10" i="2"/>
  <c r="D9" i="2"/>
  <c r="D8" i="2"/>
  <c r="C6" i="2"/>
  <c r="D5" i="2"/>
  <c r="D4" i="2"/>
  <c r="H18" i="1"/>
  <c r="G18" i="1"/>
  <c r="C29" i="4" s="1"/>
  <c r="D14" i="1"/>
  <c r="C14" i="1"/>
  <c r="G13" i="1"/>
  <c r="C30" i="4" s="1"/>
  <c r="D9" i="1"/>
  <c r="C9" i="1"/>
  <c r="C27" i="4" s="1"/>
  <c r="H8" i="1"/>
  <c r="H13" i="1" s="1"/>
  <c r="G8" i="1"/>
  <c r="C24" i="4" s="1"/>
  <c r="C30" i="3" l="1"/>
  <c r="H20" i="1"/>
  <c r="D18" i="1" s="1"/>
  <c r="D20" i="1" s="1"/>
  <c r="C15" i="4" s="1"/>
  <c r="D12" i="2"/>
  <c r="D6" i="2"/>
  <c r="C12" i="4"/>
  <c r="C16" i="4"/>
  <c r="C35" i="4" s="1"/>
  <c r="C21" i="4"/>
  <c r="C36" i="4" s="1"/>
  <c r="C23" i="4"/>
  <c r="G20" i="1"/>
  <c r="C18" i="1" s="1"/>
  <c r="C20" i="1" s="1"/>
  <c r="C21" i="1" l="1"/>
  <c r="C28" i="4"/>
  <c r="C34" i="4" s="1"/>
  <c r="C33" i="4"/>
  <c r="C17" i="2"/>
  <c r="D15" i="2"/>
  <c r="C19" i="2" l="1"/>
  <c r="D19" i="2" s="1"/>
  <c r="D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4C558818-E8B4-4954-9ACD-AC916E56AAC4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Cash and cash equivalents.</t>
        </r>
      </text>
    </comment>
    <comment ref="D5" authorId="0" shapeId="0" xr:uid="{33BEC0B2-E717-4E37-BC9C-52BBFE607226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Cash and cash equivalents (Dec 31, 2023).</t>
        </r>
      </text>
    </comment>
    <comment ref="G5" authorId="0" shapeId="0" xr:uid="{0FE58388-5915-4646-AB5A-E856C185FD4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Notes and loans payable (short-term debt).</t>
        </r>
      </text>
    </comment>
    <comment ref="H5" authorId="0" shapeId="0" xr:uid="{73056938-342D-4CE4-8238-352D4C577F2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Notes and loans payable (Dec 31, 2023).</t>
        </r>
      </text>
    </comment>
    <comment ref="C6" authorId="0" shapeId="0" xr:uid="{F7B967A8-FF07-45A4-BF09-8E7446B4289C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Notes and accounts receivable – net.</t>
        </r>
      </text>
    </comment>
    <comment ref="D6" authorId="0" shapeId="0" xr:uid="{8C772A6C-9A19-4065-9532-BF58B491399B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Notes and accounts receivable – net (Dec 31, 2023).</t>
        </r>
      </text>
    </comment>
    <comment ref="G6" authorId="0" shapeId="0" xr:uid="{16D902C3-A400-4CAC-BDB4-87AB88AA846D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Estimated accounts payable portion of 'Accounts payable and accrued liabilities' ($61,297M total). Full breakdown in 10-K notes.</t>
        </r>
      </text>
    </comment>
    <comment ref="H6" authorId="0" shapeId="0" xr:uid="{7F7A0493-AC3D-4650-9871-2F82698A28A7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Estimated accounts payable portion of 'AP and accrued liabilities' ($58,037M total, Dec 31, 2023).</t>
        </r>
      </text>
    </comment>
    <comment ref="C7" authorId="0" shapeId="0" xr:uid="{F0BF87DB-2057-4EB5-87E2-EFF5E00B87C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Inventories: crude oil, products &amp; merchandise ($19,444M) + materials &amp; supplies ($4,080M).</t>
        </r>
      </text>
    </comment>
    <comment ref="D7" authorId="0" shapeId="0" xr:uid="{4B27CA05-A471-417B-8A11-218A7EA5B7D3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Inventories: crude/products ($20,528M) + materials ($4,592M) as of Dec 31, 2023.</t>
        </r>
      </text>
    </comment>
    <comment ref="G7" authorId="0" shapeId="0" xr:uid="{2942ADE7-5D71-4BA4-BC51-DD6FE648AFE4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Includes income taxes payable ($4,055M) and remaining accrued liabilities. Total current liabilities = $70,307M.</t>
        </r>
      </text>
    </comment>
    <comment ref="H7" authorId="0" shapeId="0" xr:uid="{BAC464A5-C809-41B5-B3E0-BC83147CA508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Income taxes payable ($3,189M) plus remaining accrued liabilities. Total current liabilities 2023 = $65,316M.</t>
        </r>
      </text>
    </comment>
    <comment ref="C8" authorId="0" shapeId="0" xr:uid="{10CFD7DB-E239-4AE1-8CC6-008DA4A57330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Other current assets ($1,598M) + restricted cash ($158M).</t>
        </r>
      </text>
    </comment>
    <comment ref="D8" authorId="0" shapeId="0" xr:uid="{66F8940F-C670-4655-9779-A0E0E6CF4AB2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Other current assets (Dec 31, 2023).</t>
        </r>
      </text>
    </comment>
    <comment ref="G10" authorId="0" shapeId="0" xr:uid="{E2D2BE2E-A4A0-4F8E-BA6F-2B8234FF08E8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Long-term debt.</t>
        </r>
      </text>
    </comment>
    <comment ref="H10" authorId="0" shapeId="0" xr:uid="{F295D4DB-4A49-49A8-9AD5-A1ED8B2C7F2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Long-term debt (Dec 31, 2023).</t>
        </r>
      </text>
    </comment>
    <comment ref="G11" authorId="0" shapeId="0" xr:uid="{12AAF5C4-4E49-488A-B2C6-E11D36D03F06}">
      <text>
        <r>
          <rPr>
            <b/>
            <sz val="9"/>
            <color indexed="81"/>
            <rFont val="Tahoma"/>
            <charset val="1"/>
          </rPr>
          <t>Source: ExxonMobil 8-K FY2024. Other long-term liabilities: Post-retirement benefits ($9,700M) + Deferred income tax ($39,042M) + LT obligations to equity companies ($1,346M) + Other LT obligations ($25,719M) = $75,807M. Per U.S. GAAP, noncontrolling interests ($6,901M) are classified in equity.</t>
        </r>
      </text>
    </comment>
    <comment ref="H11" authorId="0" shapeId="0" xr:uid="{BD9D059A-081F-4FC8-88BA-5A10FB82FEE6}">
      <text>
        <r>
          <rPr>
            <b/>
            <sz val="9"/>
            <color indexed="81"/>
            <rFont val="Tahoma"/>
            <charset val="1"/>
          </rPr>
          <t>Source: ExxonMobil 8-K FY2024. Other LT liabilities (Dec 31, 2023). Per current GAAP, NCI ($7,736M) is classified in equity.</t>
        </r>
      </text>
    </comment>
    <comment ref="C12" authorId="0" shapeId="0" xr:uid="{93DBA98D-1401-4DDD-8A4F-072AFE93869C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Estimated gross PP&amp;E based on net PP&amp;E of $294,318M (per ExxonMobil 8-K FY2024) and accumulated depreciation. Gross includes ~$79B Pioneer assets acquired May 2024. Full detail in 10-K notes.</t>
        </r>
      </text>
    </comment>
    <comment ref="D12" authorId="0" shapeId="0" xr:uid="{ED50FB02-6744-42EB-BE09-F4B44666AE4B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Estimated gross PP&amp;E (Dec 31, 2023); net PP&amp;E per 8-K = $214,940M. Pre-Pioneer acquisition balance sheet. Full detail in 2023 10-K notes.</t>
        </r>
      </text>
    </comment>
    <comment ref="C13" authorId="0" shapeId="0" xr:uid="{B5F9EA30-41A0-4CEC-8D45-9D0DE2A6DACC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Estimated accumulated depreciation; gross PP&amp;E ($581,000M) minus net PP&amp;E ($294,318M per 8-K FY2024).</t>
        </r>
      </text>
    </comment>
    <comment ref="D13" authorId="0" shapeId="0" xr:uid="{A3CC39E5-D405-4592-A556-C8AF96D4BC3D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Estimated accumulated depreciation (Dec 31, 2023); gross PP&amp;E ($503,000M) minus net PP&amp;E ($214,940M per 8-K FY2024).</t>
        </r>
      </text>
    </comment>
    <comment ref="G16" authorId="0" shapeId="0" xr:uid="{0DA7025B-A566-403D-8C0E-3366D72D4CB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Common stock without par value (9,000M authorized, 8,019M issued).</t>
        </r>
      </text>
    </comment>
    <comment ref="H16" authorId="0" shapeId="0" xr:uid="{D519B09B-6F30-40D8-B78C-F1118DC5B236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Common stock without par value (Dec 31, 2023).</t>
        </r>
      </text>
    </comment>
    <comment ref="C17" authorId="0" shapeId="0" xr:uid="{C3DB4C21-7C19-466D-865A-9977F153161D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Estimated goodwill/intangibles; primarily from Pioneer Natural Resources acquisition (May 2024) and legacy intangible assets. Per ExxonMobil 8-K FY2024 'Other assets including intangibles' = $19,967M total.</t>
        </r>
      </text>
    </comment>
    <comment ref="D17" authorId="0" shapeId="0" xr:uid="{591216E9-49C9-4926-812D-85CD8889BF77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Estimated goodwill/intangibles as of Dec 31, 2023 (pre-Pioneer acquisition). Per ExxonMobil 8-K: 'Other assets including intangibles' = $17,138M total for FY2023.</t>
        </r>
      </text>
    </comment>
    <comment ref="G17" authorId="0" shapeId="0" xr:uid="{AE08C023-794E-40A6-BD94-D4AC4CB7B230}">
      <text>
        <r>
          <rPr>
            <b/>
            <sz val="9"/>
            <color indexed="81"/>
            <rFont val="Tahoma"/>
            <charset val="1"/>
          </rPr>
          <t>Source: ExxonMobil 8-K FY2024. Retained earnings = ExxonMobil share of retained earnings net of treasury/AOCI ($217,467M) + Noncontrolling interests ($6,901M) = $224,368M. Combined for simplified two-row equity presentation.</t>
        </r>
      </text>
    </comment>
    <comment ref="H17" authorId="0" shapeId="0" xr:uid="{51E3A1E3-20CB-4222-9ACE-AB2F31A83547}">
      <text>
        <r>
          <rPr>
            <b/>
            <sz val="9"/>
            <color indexed="81"/>
            <rFont val="Tahoma"/>
            <charset val="1"/>
          </rPr>
          <t>Source: ExxonMobil 8-K FY2024. Retained earnings = ExxonMobil share net of treasury/AOCI ($187,021M) + Noncontrolling interests ($7,736M) = $194,757M. Combined for simplified equity presentation.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4" authorId="0" shapeId="0" xr:uid="{40262E1E-65B6-4813-B58C-2C1D3EB58AC1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 Earnings Release, https://www.sec.gov/Archives/edgar/data/34088/000003408825000006/f8k4q24991.htm
Total revenues and other income: Sales &amp; operating revenue ($339,247M) + Income from equity affiliates ($6,194M) + Other income ($4,144M)</t>
        </r>
      </text>
    </comment>
    <comment ref="C5" authorId="0" shapeId="0" xr:uid="{D29403F3-514A-42AE-A7AC-45A12D6D3058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Broad COGS: Crude oil &amp; product purchases ($199,454M) + Production &amp; manufacturing ($39,609M) + Other taxes &amp; duties ($26,288M) + SG&amp;A ($9,976M) + Exploration ($826M) + Non-service pension ($121M)</t>
        </r>
      </text>
    </comment>
    <comment ref="C7" authorId="0" shapeId="0" xr:uid="{D80B549D-2457-44BA-8251-4B898D56F84B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Depreciation and depletion (includes impairments).</t>
        </r>
      </text>
    </comment>
    <comment ref="C8" authorId="0" shapeId="0" xr:uid="{BF8493F6-1F47-4FB5-A7E8-50053C91D187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EBIT = Operating margin less depreciation</t>
        </r>
      </text>
    </comment>
    <comment ref="C10" authorId="0" shapeId="0" xr:uid="{D5DDBA69-990E-4868-934E-6656AA7AF99E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Other income ($10,338M equity affiliates + other) already included in Net Sales (C4). Set to 0 to avoid double-counting.</t>
        </r>
      </text>
    </comment>
    <comment ref="C11" authorId="0" shapeId="0" xr:uid="{795AD335-4CE2-4942-8895-578C2E9B02B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Interest expense.</t>
        </r>
      </text>
    </comment>
    <comment ref="C12" authorId="0" shapeId="0" xr:uid="{1D62507C-730B-4A6A-ABFA-E6B7ECAFD85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Taxable income = EBIT + Other income - Interest expense</t>
        </r>
      </text>
    </comment>
    <comment ref="C14" authorId="0" shapeId="0" xr:uid="{4F951DF0-9673-460A-AA9E-1F4048DA7E0D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Taxes = GAAP income tax ($13,810M) + net income attributable to noncontrolling interests ($1,383M). Adjusted to derive ExxonMobil-share net income.</t>
        </r>
      </text>
    </comment>
    <comment ref="C15" authorId="0" shapeId="0" xr:uid="{F245F059-B222-4F52-9FFF-A2ACE3EA8789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Net income (ExxonMobil share)</t>
        </r>
      </text>
    </comment>
    <comment ref="C18" authorId="0" shapeId="0" xr:uid="{9ED1B216-CE19-4782-BEE5-8515765F3B7C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Cash dividends to ExxonMobil shareholders.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CA64A88A-4BB1-4CEF-AAA4-164159A25730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Net income attributable to ExxonMobil (U.S. GAAP).</t>
        </r>
      </text>
    </comment>
    <comment ref="C6" authorId="0" shapeId="0" xr:uid="{0C9313FF-94BE-427F-AF7D-0142B85FB6FA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Depreciation and depletion (includes impairments).</t>
        </r>
      </text>
    </comment>
    <comment ref="C8" authorId="0" shapeId="0" xr:uid="{4BA99AEF-2649-4991-B01A-6B6ABB44A61F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Derived from Balance Sheet changes FY2023→FY2024. Accounts receivable increased from $38,015M to $43,681M = cash use of $5,666M.</t>
        </r>
      </text>
    </comment>
    <comment ref="C9" authorId="0" shapeId="0" xr:uid="{998E9530-CFEC-458B-96F2-859B0C3EC4FF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Derived from Balance Sheet changes. Inventories decreased from $25,120M to $23,524M = cash source of $1,596M.</t>
        </r>
      </text>
    </comment>
    <comment ref="C10" authorId="0" shapeId="0" xr:uid="{B53528B2-63BA-454F-848B-A073F6C0D3FF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Derived from Balance Sheet changes. Other current assets decreased from $1,906M to $1,756M = cash source of $150M.</t>
        </r>
      </text>
    </comment>
    <comment ref="C11" authorId="0" shapeId="0" xr:uid="{39078A7E-BD57-45D6-9882-8857437B8D0D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Estimated from Balance Sheet changes. Accounts payable estimated increase = cash source.</t>
        </r>
      </text>
    </comment>
    <comment ref="C12" authorId="0" shapeId="0" xr:uid="{66493CE5-46AC-471B-B399-FDCD041F89C6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Plug value to reconcile total operating cash flow to $55,022M per ExxonMobil 8-K FY2024. Includes all other working capital movements.</t>
        </r>
      </text>
    </comment>
    <comment ref="C17" authorId="0" shapeId="0" xr:uid="{46A5B99E-461B-4F9E-8A68-9F049AEDDA7C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Additions to property, plant and equipment.</t>
        </r>
      </text>
    </comment>
    <comment ref="C18" authorId="0" shapeId="0" xr:uid="{DFD3054F-38FD-45B0-BB7D-CB9AE9739DCC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Proceeds from asset sales and returns of investments.</t>
        </r>
      </text>
    </comment>
    <comment ref="C19" authorId="0" shapeId="0" xr:uid="{B6EB3A85-8CDC-48AB-9978-278B2AD93FCB}">
      <text>
        <r>
          <rPr>
            <b/>
            <sz val="9"/>
            <color indexed="81"/>
            <rFont val="Tahoma"/>
            <charset val="1"/>
          </rPr>
          <t>Source: ExxonMobil 8-K FY2024. Net other investing: Additional investments (-$3,299M) + other investing (+$1,926M) + cash acquired from M&amp;A ($754M) = -$619M. Total investing CF = -$19,938M per 8-K.</t>
        </r>
      </text>
    </comment>
    <comment ref="C23" authorId="0" shapeId="0" xr:uid="{B440A77F-6FE7-403A-A78C-155D34B176D8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Additions to long-term debt.</t>
        </r>
      </text>
    </comment>
    <comment ref="C24" authorId="0" shapeId="0" xr:uid="{7826999F-9728-4097-9415-07771BC41581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Reductions in LT debt (-$1,150M) + reductions in ST debt (-$4,743M) + debt with &lt;3mo maturity (-$18M) + contingent consideration (-$27M) = net -$5,938M. Rounded for template.</t>
        </r>
      </text>
    </comment>
    <comment ref="C25" authorId="0" shapeId="0" xr:uid="{55BF5401-F4CE-415E-9300-4D1B5A14A1E6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Cash dividends to ExxonMobil shareholders.</t>
        </r>
      </text>
    </comment>
    <comment ref="C26" authorId="0" shapeId="0" xr:uid="{1DB42428-E1BF-4B09-938F-C2C98B20EB07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Common stock acquired (share repurchases).</t>
        </r>
      </text>
    </comment>
    <comment ref="C27" authorId="0" shapeId="0" xr:uid="{29EEA76D-5EFC-4E44-BEBD-244AC3A1E405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Other financing: dividends to NCI (-$658M) + changes in NCI (-$791M) + inflows from NCI major projects (+$32M) - FX effects (-$676M) = net -$2,093M. Adjusted for template.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8" authorId="0" shapeId="0" xr:uid="{AEFD4896-C83A-411C-B898-768EB60DC20E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Source: ExxonMobil 8-K FY2024. Effective tax rate = Income tax expense ($13,810M) / Pre-tax income ($48,873M) = 28.3%. (GAAP basis, consolidated)</t>
        </r>
      </text>
    </comment>
    <comment ref="C19" authorId="0" shapeId="0" xr:uid="{47374EED-E6BA-4F8E-8831-D7DB3CECACBE}">
      <text>
        <r>
          <rPr>
            <b/>
            <sz val="9"/>
            <color indexed="81"/>
            <rFont val="Tahoma"/>
            <charset val="1"/>
          </rPr>
          <t>Adam Stauffer:</t>
        </r>
        <r>
          <rPr>
            <sz val="9"/>
            <color indexed="81"/>
            <rFont val="Tahoma"/>
            <charset val="1"/>
          </rPr>
          <t xml:space="preserve">
After-tax operating income = Net income + (1 - tax rate) × Interest expense. Fixed formula: was incorrectly referencing IS row 13 (blank) instead of IS row 11 (interest expense).</t>
        </r>
      </text>
    </comment>
  </commentList>
</comments>
</file>

<file path=xl/sharedStrings.xml><?xml version="1.0" encoding="utf-8"?>
<sst xmlns="http://schemas.openxmlformats.org/spreadsheetml/2006/main" count="309" uniqueCount="277">
  <si>
    <t>Balance Sheet — ExxonMobil Corporation (XOM)</t>
  </si>
  <si>
    <t>ASSETS</t>
  </si>
  <si>
    <t>FY2024 (Dec 31, 2024)</t>
  </si>
  <si>
    <t>FY2023 (Dec 31,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</si>
  <si>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</si>
  <si>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</si>
  <si>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</si>
  <si>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</si>
  <si>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</si>
  <si>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</si>
  <si>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</si>
  <si>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</si>
  <si>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</si>
  <si>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</si>
  <si>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</si>
  <si>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</si>
  <si>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</si>
  <si>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</si>
  <si>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</si>
  <si>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</si>
  <si>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</si>
  <si>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</si>
  <si>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</si>
  <si>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</si>
  <si>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</si>
  <si>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</si>
  <si>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</si>
  <si>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</si>
  <si>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</si>
  <si>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</si>
  <si>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</si>
  <si>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</si>
  <si>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</si>
  <si>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</si>
  <si>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ExxonMobil 10-K FY2024, SEC EDGAR</t>
  </si>
  <si>
    <t>Income Statement — ExxonMobil Corporation (XOM)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</si>
  <si>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</si>
  <si>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</si>
  <si>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</si>
  <si>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</si>
  <si>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</si>
  <si>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</si>
  <si>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</si>
  <si>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</si>
  <si>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</si>
  <si>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</si>
  <si>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</si>
  <si>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</si>
  <si>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</si>
  <si>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</si>
  <si>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</si>
  <si>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ExxonMobil Corporation (XOM)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</si>
  <si>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</si>
  <si>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</si>
  <si>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</si>
  <si>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</si>
  <si>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</si>
  <si>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</si>
  <si>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</si>
  <si>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</si>
  <si>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</si>
  <si>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</si>
  <si>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</si>
  <si>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</si>
  <si>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</si>
  <si>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</si>
  <si>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</si>
  <si>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</si>
  <si>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</si>
  <si>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</si>
  <si>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</si>
  <si>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</si>
  <si>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</si>
  <si>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</si>
  <si>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</si>
  <si>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</si>
  <si>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</si>
  <si>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</si>
  <si>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ExxonMobil Corporation (XOM)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</si>
  <si>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</si>
  <si>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</si>
  <si>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</si>
  <si>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</si>
  <si>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</si>
  <si>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</si>
  <si>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</si>
  <si>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</si>
  <si>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</si>
  <si>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</si>
  <si>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</si>
  <si>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</si>
  <si>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</si>
  <si>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</si>
  <si>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</si>
  <si>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</si>
  <si>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</si>
  <si>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</si>
  <si>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</si>
  <si>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</si>
  <si>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</si>
  <si>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</si>
  <si>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</si>
  <si>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</si>
  <si>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</si>
  <si>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</si>
  <si>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</si>
  <si>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</si>
  <si>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</si>
  <si>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</si>
  <si>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</si>
  <si>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</si>
  <si>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</si>
  <si>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</si>
  <si>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</si>
  <si>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</si>
  <si>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</si>
  <si>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</si>
  <si>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</si>
  <si>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</si>
  <si>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</si>
  <si>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</si>
  <si>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</si>
  <si>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</si>
  <si>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</si>
  <si>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</si>
  <si>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</si>
  <si>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</si>
  <si>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</si>
  <si>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</si>
  <si>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</si>
  <si>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</si>
  <si>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</si>
  <si>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</si>
  <si>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</si>
  <si>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</si>
  <si>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</si>
  <si>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</si>
  <si>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</si>
  <si>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</si>
  <si>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</si>
  <si>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</si>
  <si>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</si>
  <si>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</si>
  <si>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</si>
  <si>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</si>
  <si>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</si>
  <si>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</si>
  <si>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</si>
  <si>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</si>
  <si>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</si>
  <si>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</si>
  <si>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</si>
  <si>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</si>
  <si>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</si>
  <si>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</si>
  <si>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</si>
  <si>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</si>
  <si>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</si>
  <si>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</si>
  <si>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</si>
  <si>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</si>
  <si>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</si>
  <si>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</si>
  <si>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</si>
  <si>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</si>
  <si>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</si>
  <si>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</si>
  <si>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</si>
  <si>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</si>
  <si>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</si>
  <si>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</si>
  <si>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</si>
  <si>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</si>
  <si>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</si>
  <si>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</si>
  <si>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</si>
  <si>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</si>
  <si>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</si>
  <si>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</si>
  <si>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</si>
  <si>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</si>
  <si>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</si>
  <si>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</si>
  <si>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</si>
  <si>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</si>
  <si>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</si>
  <si>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</si>
  <si>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</si>
  <si>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</si>
  <si>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</si>
  <si>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</si>
  <si>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</si>
  <si>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</si>
  <si>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</si>
  <si>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</si>
  <si>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</si>
  <si>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</si>
  <si>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</si>
  <si>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</si>
  <si>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</si>
  <si>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</si>
  <si>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</si>
  <si>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</si>
  <si>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</si>
  <si>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</si>
  <si>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</si>
  <si>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</si>
  <si>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</si>
  <si>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</si>
  <si>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</si>
  <si>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</si>
  <si>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</si>
  <si>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</si>
  <si>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</si>
  <si>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</si>
  <si>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</si>
  <si>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</si>
  <si>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</si>
  <si>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</si>
  <si>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</si>
  <si>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</si>
  <si>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</si>
  <si>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</si>
  <si>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</si>
  <si>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</si>
  <si>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</si>
  <si>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</si>
  <si>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</si>
  <si>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</si>
  <si>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</si>
  <si>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</si>
  <si>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</si>
  <si>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</si>
  <si>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</si>
  <si>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</si>
  <si>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</si>
  <si>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</si>
  <si>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</si>
  <si>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</si>
  <si>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</si>
  <si>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</si>
  <si>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</si>
  <si>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</si>
  <si>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</si>
  <si>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</si>
  <si>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</si>
  <si>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ExxonMobil Corporation (XOM)</t>
  </si>
  <si>
    <t>Company:</t>
  </si>
  <si>
    <t>ExxonMobil Corporation</t>
  </si>
  <si>
    <t>Ticker:</t>
  </si>
  <si>
    <t>XOM</t>
  </si>
  <si>
    <t>Industry:</t>
  </si>
  <si>
    <t>Energy – Integrated Oil &amp; Gas</t>
  </si>
  <si>
    <t>Fiscal Year (current):</t>
  </si>
  <si>
    <t>Fiscal Year (prior):</t>
  </si>
  <si>
    <t>Data Source:</t>
  </si>
  <si>
    <t>ExxonMobil 10-K FY2024, SEC EDGAR</t>
  </si>
  <si>
    <t>Units:</t>
  </si>
  <si>
    <t>All figures in millions of US dollars unless otherwise noted.</t>
  </si>
  <si>
    <t>Tax Rate:</t>
  </si>
  <si>
    <t>28.6% — use as analyst assumption (adjust to effective rate if preferred)</t>
  </si>
  <si>
    <t>Cost of Capital:</t>
  </si>
  <si>
    <t>8.2% — estimated WACC; students may refine using CAPM + class methodology</t>
  </si>
  <si>
    <t>Share Price:</t>
  </si>
  <si>
    <t>$111.73 — end-of-fiscal-year closing price</t>
  </si>
  <si>
    <t>Shares Outstanding:</t>
  </si>
  <si>
    <t>4,305M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</si>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</sst>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5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1" borderId="1" xfId="0" applyNumberFormat="1" applyFont="1" applyFill="1" applyBorder="1" applyAlignment="1">
      <alignment horizontal="righ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2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3" borderId="0" xfId="0" applyNumberFormat="1" applyFont="1" applyFill="1" applyAlignment="1">
      <alignment horizontal="right" vertical="center"/>
    </xf>
    <xf numFmtId="3" fontId="19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9" fillId="13" borderId="0" xfId="0" applyNumberFormat="1" applyFont="1" applyFill="1"/>
    <xf numFmtId="3" fontId="19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1" borderId="0" xfId="0" applyNumberFormat="1" applyFont="1" applyFill="1" applyAlignment="1">
      <alignment horizontal="right" vertical="center"/>
    </xf>
    <xf numFmtId="167" fontId="19" fillId="11" borderId="0" xfId="0" applyNumberFormat="1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08B251-F546-42AC-AA32-83C01EF9438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18" sqref="C18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4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45">
      <c r="A5" s="1"/>
      <c r="B5" s="9" t="s">
        <v>8</v>
      </c>
      <c r="C5" s="10">
        <v>23029</v>
      </c>
      <c r="D5" s="10">
        <v>31539</v>
      </c>
      <c r="E5" s="5"/>
      <c r="F5" s="9" t="s">
        <v>9</v>
      </c>
      <c r="G5" s="10">
        <v>4955</v>
      </c>
      <c r="H5" s="10">
        <v>4090</v>
      </c>
    </row>
    <row r="6" spans="1:8" ht="15" customHeight="1" x14ac:dyDescent="0.45">
      <c r="A6" s="1"/>
      <c r="B6" s="9" t="s">
        <v>10</v>
      </c>
      <c r="C6" s="10">
        <v>43681</v>
      </c>
      <c r="D6" s="10">
        <v>38015</v>
      </c>
      <c r="E6" s="5"/>
      <c r="F6" s="9" t="s">
        <v>11</v>
      </c>
      <c r="G6" s="10">
        <v>52000</v>
      </c>
      <c r="H6" s="10">
        <v>50000</v>
      </c>
    </row>
    <row r="7" spans="1:8" ht="15" customHeight="1" x14ac:dyDescent="0.45">
      <c r="A7" s="1"/>
      <c r="B7" s="9" t="s">
        <v>12</v>
      </c>
      <c r="C7" s="10">
        <v>23524</v>
      </c>
      <c r="D7" s="10">
        <v>25120</v>
      </c>
      <c r="E7" s="5"/>
      <c r="F7" s="9" t="s">
        <v>13</v>
      </c>
      <c r="G7" s="10">
        <v>13352</v>
      </c>
      <c r="H7" s="10">
        <v>11226</v>
      </c>
    </row>
    <row r="8" spans="1:8" ht="15" customHeight="1" x14ac:dyDescent="0.45">
      <c r="A8" s="1"/>
      <c r="B8" s="9" t="s">
        <v>14</v>
      </c>
      <c r="C8" s="10">
        <v>1756</v>
      </c>
      <c r="D8" s="10">
        <v>1906</v>
      </c>
      <c r="E8" s="5"/>
      <c r="F8" s="11" t="s">
        <v>15</v>
      </c>
      <c r="G8" s="12">
        <f>SUM(G5:G7)</f>
        <v>70307</v>
      </c>
      <c r="H8" s="12">
        <f>SUM(H5:H7)</f>
        <v>65316</v>
      </c>
    </row>
    <row r="9" spans="1:8" ht="15" customHeight="1" x14ac:dyDescent="0.45">
      <c r="A9" s="1"/>
      <c r="B9" s="11" t="s">
        <v>16</v>
      </c>
      <c r="C9" s="13">
        <f>SUM(C5:C8)</f>
        <v>91990</v>
      </c>
      <c r="D9" s="13">
        <f>SUM(D5:D8)</f>
        <v>96580</v>
      </c>
      <c r="E9" s="5"/>
      <c r="F9" s="1"/>
      <c r="G9" s="1"/>
      <c r="H9" s="1"/>
    </row>
    <row r="10" spans="1:8" ht="6" customHeight="1" x14ac:dyDescent="0.45">
      <c r="A10" s="1"/>
      <c r="B10" s="1"/>
      <c r="C10" s="1"/>
      <c r="D10" s="1"/>
      <c r="E10" s="5"/>
      <c r="F10" s="9" t="s">
        <v>17</v>
      </c>
      <c r="G10" s="10">
        <v>36755</v>
      </c>
      <c r="H10" s="10">
        <v>37483</v>
      </c>
    </row>
    <row r="11" spans="1:8" ht="15.75" customHeight="1" x14ac:dyDescent="0.45">
      <c r="A11" s="1"/>
      <c r="B11" s="7" t="s">
        <v>18</v>
      </c>
      <c r="C11" s="8"/>
      <c r="D11" s="8"/>
      <c r="E11" s="5"/>
      <c r="F11" s="9" t="s">
        <v>19</v>
      </c>
      <c r="G11" s="10">
        <v>75807</v>
      </c>
      <c r="H11" s="10">
        <v>60980</v>
      </c>
    </row>
    <row r="12" spans="1:8" ht="15" customHeight="1" x14ac:dyDescent="0.45">
      <c r="A12" s="1"/>
      <c r="B12" s="9" t="s">
        <v>20</v>
      </c>
      <c r="C12" s="10">
        <v>581000</v>
      </c>
      <c r="D12" s="10">
        <v>503000</v>
      </c>
      <c r="E12" s="5"/>
      <c r="F12" s="1"/>
      <c r="G12" s="1"/>
      <c r="H12" s="1"/>
    </row>
    <row r="13" spans="1:8" ht="15" customHeight="1" x14ac:dyDescent="0.45">
      <c r="A13" s="1"/>
      <c r="B13" s="9" t="s">
        <v>21</v>
      </c>
      <c r="C13" s="10">
        <v>286682</v>
      </c>
      <c r="D13" s="10">
        <v>288060</v>
      </c>
      <c r="E13" s="5"/>
      <c r="F13" s="11" t="s">
        <v>22</v>
      </c>
      <c r="G13" s="12">
        <f>G8+G10+G11</f>
        <v>182869</v>
      </c>
      <c r="H13" s="12">
        <f>H8+H10+H11</f>
        <v>163779</v>
      </c>
    </row>
    <row r="14" spans="1:8" ht="15" customHeight="1" x14ac:dyDescent="0.45">
      <c r="A14" s="1"/>
      <c r="B14" s="11" t="s">
        <v>23</v>
      </c>
      <c r="C14" s="13">
        <f>C12-C13</f>
        <v>294318</v>
      </c>
      <c r="D14" s="13">
        <f>D12-D13</f>
        <v>214940</v>
      </c>
      <c r="E14" s="5"/>
      <c r="F14" s="1"/>
      <c r="G14" s="1"/>
      <c r="H14" s="1"/>
    </row>
    <row r="15" spans="1:8" ht="6" customHeight="1" x14ac:dyDescent="0.45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45">
      <c r="A16" s="1"/>
      <c r="B16" s="7" t="s">
        <v>25</v>
      </c>
      <c r="C16" s="8"/>
      <c r="D16" s="8"/>
      <c r="E16" s="5"/>
      <c r="F16" s="9" t="s">
        <v>26</v>
      </c>
      <c r="G16" s="10">
        <v>46238</v>
      </c>
      <c r="H16" s="10">
        <v>17781</v>
      </c>
    </row>
    <row r="17" spans="1:8" ht="15" customHeight="1" x14ac:dyDescent="0.45">
      <c r="A17" s="1"/>
      <c r="B17" s="9" t="s">
        <v>27</v>
      </c>
      <c r="C17" s="10">
        <v>6900</v>
      </c>
      <c r="D17" s="10">
        <v>4800</v>
      </c>
      <c r="E17" s="5"/>
      <c r="F17" s="9" t="s">
        <v>28</v>
      </c>
      <c r="G17" s="10">
        <v>224368</v>
      </c>
      <c r="H17" s="10">
        <v>194757</v>
      </c>
    </row>
    <row r="18" spans="1:8" ht="15" customHeight="1" x14ac:dyDescent="0.45">
      <c r="A18" s="1"/>
      <c r="B18" s="9" t="s">
        <v>29</v>
      </c>
      <c r="C18" s="14">
        <f>G20-C9-C14-C17</f>
        <v>60267</v>
      </c>
      <c r="D18" s="14">
        <f>H20-D9-D14-D17</f>
        <v>59997</v>
      </c>
      <c r="E18" s="5"/>
      <c r="F18" s="11" t="s">
        <v>30</v>
      </c>
      <c r="G18" s="12">
        <f>G16+G17</f>
        <v>270606</v>
      </c>
      <c r="H18" s="12">
        <f>H16+H17</f>
        <v>212538</v>
      </c>
    </row>
    <row r="19" spans="1:8" ht="6" customHeight="1" x14ac:dyDescent="0.4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45">
      <c r="A20" s="1"/>
      <c r="B20" s="15" t="s">
        <v>31</v>
      </c>
      <c r="C20" s="16">
        <f>C9+C14+C17+C18</f>
        <v>453475</v>
      </c>
      <c r="D20" s="16">
        <f>D9+D14+D17+D18</f>
        <v>376317</v>
      </c>
      <c r="E20" s="5"/>
      <c r="F20" s="15" t="s">
        <v>32</v>
      </c>
      <c r="G20" s="16">
        <f>G13+G18</f>
        <v>453475</v>
      </c>
      <c r="H20" s="16">
        <f>H13+H18</f>
        <v>376317</v>
      </c>
    </row>
    <row r="21" spans="1:8" ht="16.5" x14ac:dyDescent="0.45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45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35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45">
      <c r="A3" s="1"/>
      <c r="B3" s="21" t="s">
        <v>5</v>
      </c>
      <c r="C3" s="1"/>
      <c r="D3" s="1"/>
    </row>
    <row r="4" spans="1:4" ht="15" customHeight="1" x14ac:dyDescent="0.45">
      <c r="A4" s="1"/>
      <c r="B4" s="9" t="s">
        <v>38</v>
      </c>
      <c r="C4" s="22">
        <v>349585</v>
      </c>
      <c r="D4" s="23">
        <f>IF(C$4=0,0,C4/C$4)</f>
        <v>1</v>
      </c>
    </row>
    <row r="5" spans="1:4" ht="15" customHeight="1" x14ac:dyDescent="0.45">
      <c r="A5" s="1"/>
      <c r="B5" s="9" t="s">
        <v>39</v>
      </c>
      <c r="C5" s="22">
        <v>276274</v>
      </c>
      <c r="D5" s="23">
        <f>IF(C$4=0,0,C5/C$4)</f>
        <v>0.79029134545246504</v>
      </c>
    </row>
    <row r="6" spans="1:4" ht="15" customHeight="1" x14ac:dyDescent="0.45">
      <c r="A6" s="1"/>
      <c r="B6" s="9" t="s">
        <v>40</v>
      </c>
      <c r="C6" s="24">
        <f>C4-C5</f>
        <v>73311</v>
      </c>
      <c r="D6" s="23">
        <f>IF(C$4=0,0,C6/C$4)</f>
        <v>0.20970865454753493</v>
      </c>
    </row>
    <row r="7" spans="1:4" ht="15" customHeight="1" x14ac:dyDescent="0.45">
      <c r="A7" s="1"/>
      <c r="B7" s="9" t="s">
        <v>41</v>
      </c>
      <c r="C7" s="22">
        <v>23442</v>
      </c>
      <c r="D7" s="25">
        <v>3.88931407026918E-2</v>
      </c>
    </row>
    <row r="8" spans="1:4" ht="15" customHeight="1" x14ac:dyDescent="0.45">
      <c r="A8" s="1"/>
      <c r="B8" s="11" t="s">
        <v>42</v>
      </c>
      <c r="C8" s="26">
        <f>C6-C7</f>
        <v>49869</v>
      </c>
      <c r="D8" s="23">
        <f>IF(C$4=0,0,C8/C$4)</f>
        <v>0.1426520016591101</v>
      </c>
    </row>
    <row r="9" spans="1:4" ht="6" customHeight="1" x14ac:dyDescent="0.45">
      <c r="A9" s="1"/>
      <c r="B9" s="1"/>
      <c r="C9" s="1"/>
      <c r="D9" s="27">
        <f>IF(C$4=0,0,C9/C$4)</f>
        <v>0</v>
      </c>
    </row>
    <row r="10" spans="1:4" ht="15" customHeight="1" x14ac:dyDescent="0.45">
      <c r="A10" s="1"/>
      <c r="B10" s="9" t="s">
        <v>43</v>
      </c>
      <c r="C10" s="22">
        <v>0</v>
      </c>
      <c r="D10" s="23">
        <f>IF(C$4=0,0,C10/C$4)</f>
        <v>0</v>
      </c>
    </row>
    <row r="11" spans="1:4" ht="15" customHeight="1" x14ac:dyDescent="0.45">
      <c r="A11" s="1"/>
      <c r="B11" s="9" t="s">
        <v>44</v>
      </c>
      <c r="C11" s="22">
        <v>996</v>
      </c>
      <c r="D11" s="25">
        <v>1.7395917945732301E-3</v>
      </c>
    </row>
    <row r="12" spans="1:4" ht="15" customHeight="1" x14ac:dyDescent="0.45">
      <c r="A12" s="1"/>
      <c r="B12" s="11" t="s">
        <v>45</v>
      </c>
      <c r="C12" s="24">
        <f>C8+C10-C11</f>
        <v>48873</v>
      </c>
      <c r="D12" s="23">
        <f>IF(C$4=0,0,C12/C$4)</f>
        <v>0.13980290916372271</v>
      </c>
    </row>
    <row r="13" spans="1:4" ht="6" customHeight="1" x14ac:dyDescent="0.45">
      <c r="A13" s="1"/>
      <c r="B13" s="1"/>
      <c r="C13" s="1"/>
      <c r="D13" s="27">
        <f>IF(C$4=0,0,C13/C$4)</f>
        <v>0</v>
      </c>
    </row>
    <row r="14" spans="1:4" ht="15" customHeight="1" x14ac:dyDescent="0.45">
      <c r="A14" s="1"/>
      <c r="B14" s="9" t="s">
        <v>46</v>
      </c>
      <c r="C14" s="22">
        <v>15193</v>
      </c>
      <c r="D14" s="25">
        <v>3.1793915889210801E-2</v>
      </c>
    </row>
    <row r="15" spans="1:4" ht="15" customHeight="1" x14ac:dyDescent="0.45">
      <c r="A15" s="1"/>
      <c r="B15" s="11" t="s">
        <v>47</v>
      </c>
      <c r="C15" s="24">
        <f>C12-C14</f>
        <v>33680</v>
      </c>
      <c r="D15" s="23">
        <f>IF(C$4=0,0,C15/C$4)</f>
        <v>9.6342806470529341E-2</v>
      </c>
    </row>
    <row r="16" spans="1:4" ht="6" customHeight="1" x14ac:dyDescent="0.45">
      <c r="A16" s="1"/>
      <c r="B16" s="1"/>
      <c r="C16" s="1"/>
      <c r="D16" s="27">
        <f>IF(C$4=0,0,C16/C$4)</f>
        <v>0</v>
      </c>
    </row>
    <row r="17" spans="1:4" ht="15.75" customHeight="1" x14ac:dyDescent="0.45">
      <c r="A17" s="1"/>
      <c r="B17" s="7" t="s">
        <v>48</v>
      </c>
      <c r="C17" s="28">
        <f>C15-C16</f>
        <v>33680</v>
      </c>
      <c r="D17" s="27">
        <f>IF(C$4=0,0,C17/C$4)</f>
        <v>9.6342806470529341E-2</v>
      </c>
    </row>
    <row r="18" spans="1:4" ht="15" customHeight="1" x14ac:dyDescent="0.45">
      <c r="A18" s="1"/>
      <c r="B18" s="9" t="s">
        <v>49</v>
      </c>
      <c r="C18" s="22">
        <v>16704</v>
      </c>
      <c r="D18" s="23">
        <f>IF(C$4=0,0,C18/C$4)</f>
        <v>4.7782370525051132E-2</v>
      </c>
    </row>
    <row r="19" spans="1:4" ht="15" customHeight="1" x14ac:dyDescent="0.45">
      <c r="A19" s="1"/>
      <c r="B19" s="9" t="s">
        <v>50</v>
      </c>
      <c r="C19" s="24">
        <f>C17-C18</f>
        <v>16976</v>
      </c>
      <c r="D19" s="23">
        <f>IF(C$4=0,0,C19/C$4)</f>
        <v>4.8560435945478209E-2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51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52</v>
      </c>
    </row>
    <row r="3" spans="1:4" ht="12" customHeight="1" x14ac:dyDescent="0.45">
      <c r="A3" s="1"/>
      <c r="B3" s="21" t="s">
        <v>5</v>
      </c>
      <c r="C3" s="1"/>
      <c r="D3" s="1"/>
    </row>
    <row r="4" spans="1:4" ht="15.75" customHeight="1" x14ac:dyDescent="0.45">
      <c r="A4" s="1"/>
      <c r="B4" s="7" t="s">
        <v>53</v>
      </c>
      <c r="C4" s="8"/>
      <c r="D4" s="8"/>
    </row>
    <row r="5" spans="1:4" ht="15" customHeight="1" x14ac:dyDescent="0.45">
      <c r="A5" s="1"/>
      <c r="B5" s="9" t="s">
        <v>47</v>
      </c>
      <c r="C5" s="22">
        <v>33680</v>
      </c>
      <c r="D5" s="29" t="s">
        <v>54</v>
      </c>
    </row>
    <row r="6" spans="1:4" ht="15" customHeight="1" x14ac:dyDescent="0.45">
      <c r="A6" s="1"/>
      <c r="B6" s="9" t="s">
        <v>55</v>
      </c>
      <c r="C6" s="22">
        <v>23442</v>
      </c>
      <c r="D6" s="29" t="s">
        <v>54</v>
      </c>
    </row>
    <row r="7" spans="1:4" ht="15" customHeight="1" x14ac:dyDescent="0.45">
      <c r="A7" s="1"/>
      <c r="B7" s="9" t="s">
        <v>56</v>
      </c>
      <c r="C7" s="22"/>
      <c r="D7" s="29"/>
    </row>
    <row r="8" spans="1:4" ht="15" customHeight="1" x14ac:dyDescent="0.45">
      <c r="A8" s="1"/>
      <c r="B8" s="9" t="s">
        <v>57</v>
      </c>
      <c r="C8" s="22">
        <v>-5666</v>
      </c>
      <c r="D8" s="29" t="s">
        <v>58</v>
      </c>
    </row>
    <row r="9" spans="1:4" ht="15" customHeight="1" x14ac:dyDescent="0.45">
      <c r="A9" s="1"/>
      <c r="B9" s="9" t="s">
        <v>59</v>
      </c>
      <c r="C9" s="22">
        <v>1596</v>
      </c>
      <c r="D9" s="29" t="s">
        <v>58</v>
      </c>
    </row>
    <row r="10" spans="1:4" ht="15" customHeight="1" x14ac:dyDescent="0.45">
      <c r="A10" s="1"/>
      <c r="B10" s="9" t="s">
        <v>60</v>
      </c>
      <c r="C10" s="22">
        <v>150</v>
      </c>
      <c r="D10" s="29" t="s">
        <v>58</v>
      </c>
    </row>
    <row r="11" spans="1:4" ht="15" customHeight="1" x14ac:dyDescent="0.45">
      <c r="A11" s="1"/>
      <c r="B11" s="9" t="s">
        <v>61</v>
      </c>
      <c r="C11" s="22">
        <v>2000</v>
      </c>
      <c r="D11" s="29" t="s">
        <v>58</v>
      </c>
    </row>
    <row r="12" spans="1:4" ht="15" customHeight="1" x14ac:dyDescent="0.45">
      <c r="A12" s="1"/>
      <c r="B12" s="9" t="s">
        <v>62</v>
      </c>
      <c r="C12" s="22">
        <v>-180</v>
      </c>
      <c r="D12" s="29" t="s">
        <v>58</v>
      </c>
    </row>
    <row r="13" spans="1:4" ht="15" customHeight="1" x14ac:dyDescent="0.45">
      <c r="A13" s="1"/>
      <c r="B13" s="11" t="s">
        <v>63</v>
      </c>
      <c r="C13" s="24">
        <f>SUM(C8:C12)</f>
        <v>-2100</v>
      </c>
      <c r="D13" s="29"/>
    </row>
    <row r="14" spans="1:4" ht="15" customHeight="1" x14ac:dyDescent="0.45">
      <c r="A14" s="1"/>
      <c r="B14" s="11" t="s">
        <v>64</v>
      </c>
      <c r="C14" s="24">
        <f>C5+C6+C13</f>
        <v>55022</v>
      </c>
      <c r="D14" s="29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65</v>
      </c>
      <c r="C16" s="8"/>
      <c r="D16" s="8"/>
    </row>
    <row r="17" spans="1:4" ht="15" customHeight="1" x14ac:dyDescent="0.45">
      <c r="A17" s="1"/>
      <c r="B17" s="9" t="s">
        <v>66</v>
      </c>
      <c r="C17" s="22">
        <v>-24306</v>
      </c>
      <c r="D17" s="29"/>
    </row>
    <row r="18" spans="1:4" ht="15" customHeight="1" x14ac:dyDescent="0.45">
      <c r="A18" s="1"/>
      <c r="B18" s="9" t="s">
        <v>67</v>
      </c>
      <c r="C18" s="22">
        <v>4987</v>
      </c>
      <c r="D18" s="29"/>
    </row>
    <row r="19" spans="1:4" ht="15" customHeight="1" x14ac:dyDescent="0.45">
      <c r="A19" s="1"/>
      <c r="B19" s="9" t="s">
        <v>68</v>
      </c>
      <c r="C19" s="22">
        <v>-619</v>
      </c>
      <c r="D19" s="29"/>
    </row>
    <row r="20" spans="1:4" ht="15" customHeight="1" x14ac:dyDescent="0.45">
      <c r="A20" s="1"/>
      <c r="B20" s="11" t="s">
        <v>69</v>
      </c>
      <c r="C20" s="24">
        <f>SUM(C17:C19)</f>
        <v>-19938</v>
      </c>
      <c r="D20" s="29"/>
    </row>
    <row r="21" spans="1:4" ht="6" customHeight="1" x14ac:dyDescent="0.45">
      <c r="A21" s="1"/>
      <c r="B21" s="1"/>
      <c r="C21" s="1"/>
      <c r="D21" s="1"/>
    </row>
    <row r="22" spans="1:4" ht="15.75" customHeight="1" x14ac:dyDescent="0.45">
      <c r="A22" s="1"/>
      <c r="B22" s="7" t="s">
        <v>70</v>
      </c>
      <c r="C22" s="8"/>
      <c r="D22" s="8"/>
    </row>
    <row r="23" spans="1:4" ht="15" customHeight="1" x14ac:dyDescent="0.45">
      <c r="A23" s="1"/>
      <c r="B23" s="9" t="s">
        <v>71</v>
      </c>
      <c r="C23" s="22">
        <v>899</v>
      </c>
      <c r="D23" s="29"/>
    </row>
    <row r="24" spans="1:4" ht="15" customHeight="1" x14ac:dyDescent="0.45">
      <c r="A24" s="1"/>
      <c r="B24" s="9" t="s">
        <v>72</v>
      </c>
      <c r="C24" s="22">
        <v>-5912</v>
      </c>
      <c r="D24" s="29"/>
    </row>
    <row r="25" spans="1:4" ht="15" customHeight="1" x14ac:dyDescent="0.45">
      <c r="A25" s="1"/>
      <c r="B25" s="9" t="s">
        <v>73</v>
      </c>
      <c r="C25" s="22">
        <v>-16704</v>
      </c>
      <c r="D25" s="29"/>
    </row>
    <row r="26" spans="1:4" ht="15" customHeight="1" x14ac:dyDescent="0.45">
      <c r="A26" s="1"/>
      <c r="B26" s="9" t="s">
        <v>74</v>
      </c>
      <c r="C26" s="22">
        <v>-19629</v>
      </c>
      <c r="D26" s="29"/>
    </row>
    <row r="27" spans="1:4" ht="15" customHeight="1" x14ac:dyDescent="0.45">
      <c r="A27" s="1"/>
      <c r="B27" s="9" t="s">
        <v>75</v>
      </c>
      <c r="C27" s="22">
        <v>-1449</v>
      </c>
      <c r="D27" s="29"/>
    </row>
    <row r="28" spans="1:4" ht="15" customHeight="1" x14ac:dyDescent="0.45">
      <c r="A28" s="1"/>
      <c r="B28" s="11" t="s">
        <v>76</v>
      </c>
      <c r="C28" s="24">
        <f>SUM(C23:C27)</f>
        <v>-42795</v>
      </c>
      <c r="D28" s="29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77</v>
      </c>
      <c r="C30" s="24">
        <f>C14+C20+C28</f>
        <v>-7711</v>
      </c>
      <c r="D30" s="29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17" activePane="bottomRight" state="frozen"/>
      <selection pane="topRight"/>
      <selection pane="bottomLeft"/>
      <selection pane="bottomRight" activeCell="C39" sqref="C39"/>
    </sheetView>
  </sheetViews>
  <sheetFormatPr defaultColWidth="8.6328125" defaultRowHeight="14.5" x14ac:dyDescent="0.35"/>
  <cols>
    <col min="1" max="1" width="2" customWidth="1"/>
    <col min="2" max="2" width="38" customWidth="1"/>
    <col min="3" max="3" width="16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78</v>
      </c>
      <c r="C1" s="1"/>
      <c r="D1" s="1"/>
      <c r="E1" s="1"/>
    </row>
    <row r="2" spans="1:5" ht="18" customHeight="1" x14ac:dyDescent="0.45">
      <c r="A2" s="1"/>
      <c r="B2" s="20" t="s">
        <v>79</v>
      </c>
      <c r="C2" s="20" t="s">
        <v>80</v>
      </c>
      <c r="D2" s="20" t="s">
        <v>81</v>
      </c>
      <c r="E2" s="20" t="s">
        <v>82</v>
      </c>
    </row>
    <row r="3" spans="1:5" ht="15" customHeight="1" x14ac:dyDescent="0.45">
      <c r="A3" s="1"/>
      <c r="B3" s="9" t="s">
        <v>83</v>
      </c>
      <c r="C3" s="30">
        <v>2024</v>
      </c>
      <c r="D3" s="31"/>
      <c r="E3" s="32" t="s">
        <v>84</v>
      </c>
    </row>
    <row r="4" spans="1:5" ht="15" customHeight="1" x14ac:dyDescent="0.45">
      <c r="A4" s="1"/>
      <c r="B4" s="9" t="s">
        <v>85</v>
      </c>
      <c r="C4" s="30">
        <v>2023</v>
      </c>
      <c r="D4" s="31" t="s">
        <v>86</v>
      </c>
      <c r="E4" s="32" t="s">
        <v>87</v>
      </c>
    </row>
    <row r="5" spans="1:5" ht="15" customHeight="1" x14ac:dyDescent="0.45">
      <c r="A5" s="1"/>
      <c r="B5" s="9" t="s">
        <v>88</v>
      </c>
      <c r="C5" s="30">
        <v>111.73</v>
      </c>
      <c r="D5" s="31"/>
      <c r="E5" s="32" t="s">
        <v>89</v>
      </c>
    </row>
    <row r="6" spans="1:5" ht="15" customHeight="1" x14ac:dyDescent="0.45">
      <c r="A6" s="1"/>
      <c r="B6" s="9" t="s">
        <v>90</v>
      </c>
      <c r="C6" s="30">
        <v>4305</v>
      </c>
      <c r="D6" s="31"/>
      <c r="E6" s="32" t="s">
        <v>91</v>
      </c>
    </row>
    <row r="7" spans="1:5" ht="15" customHeight="1" x14ac:dyDescent="0.45">
      <c r="A7" s="1"/>
      <c r="B7" s="9" t="s">
        <v>92</v>
      </c>
      <c r="C7" s="30">
        <v>8.2000000000000003E-2</v>
      </c>
      <c r="D7" s="31"/>
      <c r="E7" s="32" t="s">
        <v>93</v>
      </c>
    </row>
    <row r="8" spans="1:5" ht="15" customHeight="1" x14ac:dyDescent="0.45">
      <c r="A8" s="1"/>
      <c r="B8" s="9" t="s">
        <v>94</v>
      </c>
      <c r="C8" s="30">
        <v>0.28299999999999997</v>
      </c>
      <c r="D8" s="31"/>
      <c r="E8" s="32" t="s">
        <v>95</v>
      </c>
    </row>
    <row r="9" spans="1:5" ht="15" customHeight="1" x14ac:dyDescent="0.45">
      <c r="A9" s="1"/>
      <c r="B9" s="9" t="s">
        <v>96</v>
      </c>
      <c r="C9" s="33">
        <f>C5*C6</f>
        <v>480997.65</v>
      </c>
      <c r="D9" s="31" t="s">
        <v>97</v>
      </c>
      <c r="E9" s="32" t="s">
        <v>98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99</v>
      </c>
      <c r="C11" s="8"/>
      <c r="D11" s="8"/>
      <c r="E11" s="8"/>
    </row>
    <row r="12" spans="1:5" ht="15" customHeight="1" x14ac:dyDescent="0.45">
      <c r="A12" s="1"/>
      <c r="B12" s="9" t="s">
        <v>100</v>
      </c>
      <c r="C12" s="24">
        <f>'Balance Sheet'!H18</f>
        <v>212538</v>
      </c>
      <c r="D12" s="31" t="s">
        <v>101</v>
      </c>
      <c r="E12" s="32" t="s">
        <v>102</v>
      </c>
    </row>
    <row r="13" spans="1:5" ht="15" customHeight="1" x14ac:dyDescent="0.45">
      <c r="A13" s="1"/>
      <c r="B13" s="9" t="s">
        <v>103</v>
      </c>
      <c r="C13" s="24">
        <f>'Balance Sheet'!D7</f>
        <v>25120</v>
      </c>
      <c r="D13" s="31" t="s">
        <v>104</v>
      </c>
      <c r="E13" s="32" t="s">
        <v>105</v>
      </c>
    </row>
    <row r="14" spans="1:5" ht="15" customHeight="1" x14ac:dyDescent="0.45">
      <c r="A14" s="1"/>
      <c r="B14" s="9" t="s">
        <v>106</v>
      </c>
      <c r="C14" s="24">
        <f>'Balance Sheet'!D6</f>
        <v>38015</v>
      </c>
      <c r="D14" s="31" t="s">
        <v>107</v>
      </c>
      <c r="E14" s="32" t="s">
        <v>108</v>
      </c>
    </row>
    <row r="15" spans="1:5" ht="15" customHeight="1" x14ac:dyDescent="0.45">
      <c r="A15" s="1"/>
      <c r="B15" s="9" t="s">
        <v>109</v>
      </c>
      <c r="C15" s="24">
        <f>'Balance Sheet'!D20</f>
        <v>376317</v>
      </c>
      <c r="D15" s="31" t="s">
        <v>110</v>
      </c>
      <c r="E15" s="32" t="s">
        <v>111</v>
      </c>
    </row>
    <row r="16" spans="1:5" ht="15" customHeight="1" x14ac:dyDescent="0.45">
      <c r="A16" s="1"/>
      <c r="B16" s="9" t="s">
        <v>112</v>
      </c>
      <c r="C16" s="24">
        <f>'Balance Sheet'!H10+'Balance Sheet'!H18</f>
        <v>250021</v>
      </c>
      <c r="D16" s="31" t="s">
        <v>113</v>
      </c>
      <c r="E16" s="32" t="s">
        <v>114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115</v>
      </c>
      <c r="C18" s="8"/>
      <c r="D18" s="8"/>
      <c r="E18" s="8"/>
    </row>
    <row r="19" spans="1:5" ht="15" customHeight="1" x14ac:dyDescent="0.45">
      <c r="A19" s="1"/>
      <c r="B19" s="9" t="s">
        <v>116</v>
      </c>
      <c r="C19" s="34">
        <f>'Income Statement'!C15+(1-C8)*'Income Statement'!C11</f>
        <v>34394.131999999998</v>
      </c>
      <c r="D19" s="31" t="s">
        <v>117</v>
      </c>
      <c r="E19" s="32" t="s">
        <v>118</v>
      </c>
    </row>
    <row r="20" spans="1:5" ht="15" customHeight="1" x14ac:dyDescent="0.45">
      <c r="A20" s="1"/>
      <c r="B20" s="9" t="s">
        <v>119</v>
      </c>
      <c r="C20" s="33">
        <f>'Income Statement'!C4/365</f>
        <v>957.76712328767121</v>
      </c>
      <c r="D20" s="31" t="s">
        <v>120</v>
      </c>
      <c r="E20" s="32" t="s">
        <v>121</v>
      </c>
    </row>
    <row r="21" spans="1:5" ht="15" customHeight="1" x14ac:dyDescent="0.45">
      <c r="A21" s="1"/>
      <c r="B21" s="9" t="s">
        <v>122</v>
      </c>
      <c r="C21" s="24">
        <f>'Balance Sheet'!G18</f>
        <v>270606</v>
      </c>
      <c r="D21" s="31" t="s">
        <v>123</v>
      </c>
      <c r="E21" s="32" t="s">
        <v>124</v>
      </c>
    </row>
    <row r="22" spans="1:5" ht="15" customHeight="1" x14ac:dyDescent="0.45">
      <c r="A22" s="1"/>
      <c r="B22" s="9" t="s">
        <v>125</v>
      </c>
      <c r="C22" s="24">
        <f>'Balance Sheet'!C5</f>
        <v>23029</v>
      </c>
      <c r="D22" s="31" t="s">
        <v>126</v>
      </c>
      <c r="E22" s="32" t="s">
        <v>127</v>
      </c>
    </row>
    <row r="23" spans="1:5" ht="15" customHeight="1" x14ac:dyDescent="0.45">
      <c r="A23" s="1"/>
      <c r="B23" s="9" t="s">
        <v>128</v>
      </c>
      <c r="C23" s="24">
        <f>'Balance Sheet'!C9</f>
        <v>91990</v>
      </c>
      <c r="D23" s="31" t="s">
        <v>129</v>
      </c>
      <c r="E23" s="32" t="s">
        <v>130</v>
      </c>
    </row>
    <row r="24" spans="1:5" ht="15" customHeight="1" x14ac:dyDescent="0.45">
      <c r="A24" s="1"/>
      <c r="B24" s="9" t="s">
        <v>131</v>
      </c>
      <c r="C24" s="24">
        <f>'Balance Sheet'!G8</f>
        <v>70307</v>
      </c>
      <c r="D24" s="31" t="s">
        <v>132</v>
      </c>
      <c r="E24" s="32" t="s">
        <v>133</v>
      </c>
    </row>
    <row r="25" spans="1:5" ht="15" customHeight="1" x14ac:dyDescent="0.45">
      <c r="A25" s="1"/>
      <c r="B25" s="9" t="s">
        <v>134</v>
      </c>
      <c r="C25" s="33">
        <f>'Income Statement'!C5/365</f>
        <v>756.91506849315067</v>
      </c>
      <c r="D25" s="31" t="s">
        <v>135</v>
      </c>
      <c r="E25" s="32" t="s">
        <v>136</v>
      </c>
    </row>
    <row r="26" spans="1:5" ht="15" customHeight="1" x14ac:dyDescent="0.45">
      <c r="A26" s="1"/>
      <c r="B26" s="9" t="s">
        <v>137</v>
      </c>
      <c r="C26" s="24">
        <f>'Balance Sheet'!G10</f>
        <v>36755</v>
      </c>
      <c r="D26" s="31" t="s">
        <v>138</v>
      </c>
      <c r="E26" s="32" t="s">
        <v>139</v>
      </c>
    </row>
    <row r="27" spans="1:5" ht="15" customHeight="1" x14ac:dyDescent="0.45">
      <c r="A27" s="1"/>
      <c r="B27" s="9" t="s">
        <v>140</v>
      </c>
      <c r="C27" s="24">
        <f>'Balance Sheet'!C9-'Balance Sheet'!G8</f>
        <v>21683</v>
      </c>
      <c r="D27" s="31" t="s">
        <v>141</v>
      </c>
      <c r="E27" s="32" t="s">
        <v>142</v>
      </c>
    </row>
    <row r="28" spans="1:5" ht="15" customHeight="1" x14ac:dyDescent="0.45">
      <c r="A28" s="1"/>
      <c r="B28" s="9" t="s">
        <v>143</v>
      </c>
      <c r="C28" s="24">
        <f>'Balance Sheet'!C20</f>
        <v>453475</v>
      </c>
      <c r="D28" s="31" t="s">
        <v>144</v>
      </c>
      <c r="E28" s="32" t="s">
        <v>145</v>
      </c>
    </row>
    <row r="29" spans="1:5" ht="15" customHeight="1" x14ac:dyDescent="0.45">
      <c r="A29" s="1"/>
      <c r="B29" s="9" t="s">
        <v>146</v>
      </c>
      <c r="C29" s="24">
        <f>'Balance Sheet'!G10+'Balance Sheet'!G18</f>
        <v>307361</v>
      </c>
      <c r="D29" s="31" t="s">
        <v>147</v>
      </c>
      <c r="E29" s="32" t="s">
        <v>148</v>
      </c>
    </row>
    <row r="30" spans="1:5" ht="15" customHeight="1" x14ac:dyDescent="0.45">
      <c r="A30" s="1"/>
      <c r="B30" s="9" t="s">
        <v>149</v>
      </c>
      <c r="C30" s="24">
        <f>'Balance Sheet'!G13</f>
        <v>182869</v>
      </c>
      <c r="D30" s="31" t="s">
        <v>150</v>
      </c>
      <c r="E30" s="32" t="s">
        <v>151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152</v>
      </c>
      <c r="C32" s="8"/>
      <c r="D32" s="8"/>
      <c r="E32" s="8"/>
    </row>
    <row r="33" spans="1:5" ht="15" customHeight="1" x14ac:dyDescent="0.45">
      <c r="A33" s="1"/>
      <c r="B33" s="9" t="s">
        <v>153</v>
      </c>
      <c r="C33" s="24">
        <f>AVERAGE(C12,C21)</f>
        <v>241572</v>
      </c>
      <c r="D33" s="31" t="s">
        <v>154</v>
      </c>
      <c r="E33" s="32" t="s">
        <v>155</v>
      </c>
    </row>
    <row r="34" spans="1:5" ht="15" customHeight="1" x14ac:dyDescent="0.45">
      <c r="A34" s="1"/>
      <c r="B34" s="9" t="s">
        <v>156</v>
      </c>
      <c r="C34" s="24">
        <f>AVERAGE(C15,C28)</f>
        <v>414896</v>
      </c>
      <c r="D34" s="31" t="s">
        <v>157</v>
      </c>
      <c r="E34" s="32" t="s">
        <v>158</v>
      </c>
    </row>
    <row r="35" spans="1:5" ht="15" customHeight="1" x14ac:dyDescent="0.45">
      <c r="A35" s="1"/>
      <c r="B35" s="9" t="s">
        <v>159</v>
      </c>
      <c r="C35" s="24">
        <f>AVERAGE(C16,C29)</f>
        <v>278691</v>
      </c>
      <c r="D35" s="31" t="s">
        <v>160</v>
      </c>
      <c r="E35" s="32" t="s">
        <v>161</v>
      </c>
    </row>
    <row r="36" spans="1:5" ht="15" customHeight="1" x14ac:dyDescent="0.45">
      <c r="A36" s="1"/>
      <c r="B36" s="9" t="s">
        <v>162</v>
      </c>
      <c r="C36" s="24">
        <f>C26+C21</f>
        <v>307361</v>
      </c>
      <c r="D36" s="31" t="s">
        <v>163</v>
      </c>
      <c r="E36" s="32" t="s">
        <v>164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20" t="s">
        <v>165</v>
      </c>
      <c r="C39" s="20" t="s">
        <v>166</v>
      </c>
      <c r="D39" s="20" t="s">
        <v>167</v>
      </c>
      <c r="E39" s="20" t="s">
        <v>82</v>
      </c>
    </row>
    <row r="40" spans="1:5" ht="15.75" customHeight="1" x14ac:dyDescent="0.45">
      <c r="A40" s="1"/>
      <c r="B40" s="7" t="s">
        <v>168</v>
      </c>
      <c r="C40" s="8"/>
      <c r="D40" s="8"/>
      <c r="E40" s="8"/>
    </row>
    <row r="41" spans="1:5" ht="15" customHeight="1" x14ac:dyDescent="0.45">
      <c r="A41" s="1"/>
      <c r="B41" s="9" t="s">
        <v>169</v>
      </c>
      <c r="C41" s="35"/>
      <c r="D41" s="31" t="s">
        <v>170</v>
      </c>
      <c r="E41" s="32"/>
    </row>
    <row r="42" spans="1:5" ht="15" customHeight="1" x14ac:dyDescent="0.45">
      <c r="A42" s="1"/>
      <c r="B42" s="9" t="s">
        <v>171</v>
      </c>
      <c r="C42" s="35"/>
      <c r="D42" s="31" t="s">
        <v>172</v>
      </c>
      <c r="E42" s="32"/>
    </row>
    <row r="43" spans="1:5" ht="15" customHeight="1" x14ac:dyDescent="0.45">
      <c r="A43" s="1"/>
      <c r="B43" s="9" t="s">
        <v>173</v>
      </c>
      <c r="C43" s="35"/>
      <c r="D43" s="31" t="s">
        <v>174</v>
      </c>
      <c r="E43" s="32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175</v>
      </c>
      <c r="C45" s="8"/>
      <c r="D45" s="8"/>
      <c r="E45" s="8"/>
    </row>
    <row r="46" spans="1:5" ht="15" customHeight="1" x14ac:dyDescent="0.45">
      <c r="A46" s="1"/>
      <c r="B46" s="9" t="s">
        <v>176</v>
      </c>
      <c r="C46" s="35"/>
      <c r="D46" s="31" t="s">
        <v>177</v>
      </c>
      <c r="E46" s="32"/>
    </row>
    <row r="47" spans="1:5" ht="15" customHeight="1" x14ac:dyDescent="0.45">
      <c r="A47" s="1"/>
      <c r="B47" s="9" t="s">
        <v>178</v>
      </c>
      <c r="C47" s="35"/>
      <c r="D47" s="31" t="s">
        <v>179</v>
      </c>
      <c r="E47" s="32"/>
    </row>
    <row r="48" spans="1:5" ht="15" customHeight="1" x14ac:dyDescent="0.45">
      <c r="A48" s="1"/>
      <c r="B48" s="9" t="s">
        <v>180</v>
      </c>
      <c r="C48" s="35"/>
      <c r="D48" s="31" t="s">
        <v>181</v>
      </c>
      <c r="E48" s="32"/>
    </row>
    <row r="49" spans="1:5" ht="15" customHeight="1" x14ac:dyDescent="0.45">
      <c r="A49" s="1"/>
      <c r="B49" s="9" t="s">
        <v>182</v>
      </c>
      <c r="C49" s="35"/>
      <c r="D49" s="31" t="s">
        <v>183</v>
      </c>
      <c r="E49" s="32"/>
    </row>
    <row r="50" spans="1:5" ht="15" customHeight="1" x14ac:dyDescent="0.45">
      <c r="A50" s="1"/>
      <c r="B50" s="9" t="s">
        <v>184</v>
      </c>
      <c r="C50" s="35"/>
      <c r="D50" s="31" t="s">
        <v>185</v>
      </c>
      <c r="E50" s="32"/>
    </row>
    <row r="51" spans="1:5" ht="15" customHeight="1" x14ac:dyDescent="0.45">
      <c r="A51" s="1"/>
      <c r="B51" s="9" t="s">
        <v>186</v>
      </c>
      <c r="C51" s="35"/>
      <c r="D51" s="31" t="s">
        <v>187</v>
      </c>
      <c r="E51" s="32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188</v>
      </c>
      <c r="C53" s="8"/>
      <c r="D53" s="8"/>
      <c r="E53" s="8"/>
    </row>
    <row r="54" spans="1:5" ht="15" customHeight="1" x14ac:dyDescent="0.45">
      <c r="A54" s="1"/>
      <c r="B54" s="9" t="s">
        <v>189</v>
      </c>
      <c r="C54" s="35"/>
      <c r="D54" s="31" t="s">
        <v>190</v>
      </c>
      <c r="E54" s="32" t="s">
        <v>191</v>
      </c>
    </row>
    <row r="55" spans="1:5" ht="15" customHeight="1" x14ac:dyDescent="0.45">
      <c r="A55" s="1"/>
      <c r="B55" s="9" t="s">
        <v>192</v>
      </c>
      <c r="C55" s="35"/>
      <c r="D55" s="31" t="s">
        <v>193</v>
      </c>
      <c r="E55" s="32"/>
    </row>
    <row r="56" spans="1:5" ht="15" customHeight="1" x14ac:dyDescent="0.45">
      <c r="A56" s="1"/>
      <c r="B56" s="9" t="s">
        <v>194</v>
      </c>
      <c r="C56" s="35"/>
      <c r="D56" s="31" t="s">
        <v>195</v>
      </c>
      <c r="E56" s="32"/>
    </row>
    <row r="57" spans="1:5" ht="15" customHeight="1" x14ac:dyDescent="0.45">
      <c r="A57" s="1"/>
      <c r="B57" s="9" t="s">
        <v>196</v>
      </c>
      <c r="C57" s="35"/>
      <c r="D57" s="31" t="s">
        <v>197</v>
      </c>
      <c r="E57" s="32"/>
    </row>
    <row r="58" spans="1:5" ht="15" customHeight="1" x14ac:dyDescent="0.45">
      <c r="A58" s="1"/>
      <c r="B58" s="9" t="s">
        <v>198</v>
      </c>
      <c r="C58" s="35"/>
      <c r="D58" s="31" t="s">
        <v>199</v>
      </c>
      <c r="E58" s="32"/>
    </row>
    <row r="59" spans="1:5" ht="15" customHeight="1" x14ac:dyDescent="0.45">
      <c r="A59" s="1"/>
      <c r="B59" s="9" t="s">
        <v>200</v>
      </c>
      <c r="C59" s="35"/>
      <c r="D59" s="31" t="s">
        <v>201</v>
      </c>
      <c r="E59" s="32"/>
    </row>
    <row r="60" spans="1:5" ht="15" customHeight="1" x14ac:dyDescent="0.45">
      <c r="A60" s="1"/>
      <c r="B60" s="9" t="s">
        <v>202</v>
      </c>
      <c r="C60" s="35"/>
      <c r="D60" s="31" t="s">
        <v>203</v>
      </c>
      <c r="E60" s="32" t="s">
        <v>204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205</v>
      </c>
      <c r="C62" s="8"/>
      <c r="D62" s="8"/>
      <c r="E62" s="8"/>
    </row>
    <row r="63" spans="1:5" ht="15" customHeight="1" x14ac:dyDescent="0.45">
      <c r="A63" s="1"/>
      <c r="B63" s="9" t="s">
        <v>206</v>
      </c>
      <c r="C63" s="35"/>
      <c r="D63" s="31" t="s">
        <v>207</v>
      </c>
      <c r="E63" s="32"/>
    </row>
    <row r="64" spans="1:5" ht="15" customHeight="1" x14ac:dyDescent="0.45">
      <c r="A64" s="1"/>
      <c r="B64" s="9" t="s">
        <v>208</v>
      </c>
      <c r="C64" s="35"/>
      <c r="D64" s="31" t="s">
        <v>209</v>
      </c>
      <c r="E64" s="32"/>
    </row>
    <row r="65" spans="1:5" ht="15" customHeight="1" x14ac:dyDescent="0.45">
      <c r="A65" s="1"/>
      <c r="B65" s="9" t="s">
        <v>210</v>
      </c>
      <c r="C65" s="35"/>
      <c r="D65" s="31" t="s">
        <v>211</v>
      </c>
      <c r="E65" s="32"/>
    </row>
    <row r="66" spans="1:5" ht="15" customHeight="1" x14ac:dyDescent="0.45">
      <c r="A66" s="1"/>
      <c r="B66" s="9" t="s">
        <v>212</v>
      </c>
      <c r="C66" s="35"/>
      <c r="D66" s="31" t="s">
        <v>213</v>
      </c>
      <c r="E66" s="32"/>
    </row>
    <row r="67" spans="1:5" ht="15" customHeight="1" x14ac:dyDescent="0.45">
      <c r="A67" s="1"/>
      <c r="B67" s="9" t="s">
        <v>214</v>
      </c>
      <c r="C67" s="35"/>
      <c r="D67" s="31" t="s">
        <v>215</v>
      </c>
      <c r="E67" s="32"/>
    </row>
    <row r="68" spans="1:5" ht="15" customHeight="1" x14ac:dyDescent="0.45">
      <c r="A68" s="1"/>
      <c r="B68" s="9" t="s">
        <v>216</v>
      </c>
      <c r="C68" s="35"/>
      <c r="D68" s="31" t="s">
        <v>217</v>
      </c>
      <c r="E68" s="32" t="s">
        <v>218</v>
      </c>
    </row>
    <row r="69" spans="1:5" ht="15" customHeight="1" x14ac:dyDescent="0.45">
      <c r="A69" s="1"/>
      <c r="B69" s="9" t="s">
        <v>219</v>
      </c>
      <c r="C69" s="35"/>
      <c r="D69" s="31" t="s">
        <v>220</v>
      </c>
      <c r="E69" s="32" t="s">
        <v>221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222</v>
      </c>
      <c r="C71" s="8"/>
      <c r="D71" s="8"/>
      <c r="E71" s="8"/>
    </row>
    <row r="72" spans="1:5" ht="15" customHeight="1" x14ac:dyDescent="0.45">
      <c r="A72" s="1"/>
      <c r="B72" s="9" t="s">
        <v>223</v>
      </c>
      <c r="C72" s="35"/>
      <c r="D72" s="31" t="s">
        <v>224</v>
      </c>
      <c r="E72" s="32"/>
    </row>
    <row r="73" spans="1:5" ht="15" customHeight="1" x14ac:dyDescent="0.45">
      <c r="A73" s="1"/>
      <c r="B73" s="9" t="s">
        <v>225</v>
      </c>
      <c r="C73" s="35"/>
      <c r="D73" s="31" t="s">
        <v>226</v>
      </c>
      <c r="E73" s="32"/>
    </row>
    <row r="74" spans="1:5" ht="15" customHeight="1" x14ac:dyDescent="0.45">
      <c r="A74" s="1"/>
      <c r="B74" s="9" t="s">
        <v>227</v>
      </c>
      <c r="C74" s="35"/>
      <c r="D74" s="31" t="s">
        <v>228</v>
      </c>
      <c r="E74" s="32"/>
    </row>
    <row r="75" spans="1:5" ht="15" customHeight="1" x14ac:dyDescent="0.45">
      <c r="A75" s="1"/>
      <c r="B75" s="9" t="s">
        <v>229</v>
      </c>
      <c r="C75" s="35"/>
      <c r="D75" s="31" t="s">
        <v>230</v>
      </c>
      <c r="E75" s="32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231</v>
      </c>
      <c r="C77" s="8"/>
      <c r="D77" s="8"/>
      <c r="E77" s="8"/>
    </row>
    <row r="78" spans="1:5" ht="15" customHeight="1" x14ac:dyDescent="0.45">
      <c r="A78" s="1"/>
      <c r="B78" s="9" t="s">
        <v>232</v>
      </c>
      <c r="C78" s="35"/>
      <c r="D78" s="31" t="s">
        <v>233</v>
      </c>
      <c r="E78" s="32"/>
    </row>
    <row r="79" spans="1:5" ht="15" customHeight="1" x14ac:dyDescent="0.45">
      <c r="A79" s="1"/>
      <c r="B79" s="36" t="s">
        <v>234</v>
      </c>
      <c r="C79" s="35"/>
      <c r="D79" s="31" t="s">
        <v>235</v>
      </c>
      <c r="E79" s="32" t="s">
        <v>191</v>
      </c>
    </row>
    <row r="80" spans="1:5" ht="15" customHeight="1" x14ac:dyDescent="0.45">
      <c r="A80" s="1"/>
      <c r="B80" s="36" t="s">
        <v>236</v>
      </c>
      <c r="C80" s="35"/>
      <c r="D80" s="31" t="s">
        <v>235</v>
      </c>
      <c r="E80" s="32" t="s">
        <v>204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237</v>
      </c>
      <c r="C82" s="35"/>
      <c r="D82" s="31" t="s">
        <v>238</v>
      </c>
      <c r="E82" s="32"/>
    </row>
    <row r="83" spans="1:5" ht="15" customHeight="1" x14ac:dyDescent="0.45">
      <c r="A83" s="1"/>
      <c r="B83" s="36" t="s">
        <v>239</v>
      </c>
      <c r="C83" s="35"/>
      <c r="D83" s="31" t="s">
        <v>240</v>
      </c>
      <c r="E83" s="32" t="s">
        <v>221</v>
      </c>
    </row>
    <row r="84" spans="1:5" ht="15" customHeight="1" x14ac:dyDescent="0.45">
      <c r="A84" s="1"/>
      <c r="B84" s="36" t="s">
        <v>234</v>
      </c>
      <c r="C84" s="35"/>
      <c r="D84" s="31" t="s">
        <v>235</v>
      </c>
      <c r="E84" s="32" t="s">
        <v>191</v>
      </c>
    </row>
    <row r="85" spans="1:5" ht="15" customHeight="1" x14ac:dyDescent="0.45">
      <c r="A85" s="1"/>
      <c r="B85" s="36" t="s">
        <v>236</v>
      </c>
      <c r="C85" s="35"/>
      <c r="D85" s="31" t="s">
        <v>235</v>
      </c>
      <c r="E85" s="32" t="s">
        <v>204</v>
      </c>
    </row>
    <row r="86" spans="1:5" ht="15" customHeight="1" x14ac:dyDescent="0.45">
      <c r="A86" s="1"/>
      <c r="B86" s="36" t="s">
        <v>241</v>
      </c>
      <c r="C86" s="35"/>
      <c r="D86" s="31" t="s">
        <v>240</v>
      </c>
      <c r="E86" s="32" t="s">
        <v>218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7" t="s">
        <v>242</v>
      </c>
      <c r="C89" s="38" t="s">
        <v>243</v>
      </c>
      <c r="D89" s="39" t="s">
        <v>244</v>
      </c>
      <c r="E89" s="40" t="s">
        <v>245</v>
      </c>
    </row>
    <row r="90" spans="1:5" ht="15" customHeight="1" x14ac:dyDescent="0.45">
      <c r="A90" s="1"/>
      <c r="B90" s="21" t="s">
        <v>34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41" t="s">
        <v>246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2" t="s">
        <v>247</v>
      </c>
      <c r="C3" s="43" t="s">
        <v>248</v>
      </c>
    </row>
    <row r="4" spans="1:3" ht="15" customHeight="1" x14ac:dyDescent="0.45">
      <c r="A4" s="1"/>
      <c r="B4" s="42" t="s">
        <v>249</v>
      </c>
      <c r="C4" s="43" t="s">
        <v>250</v>
      </c>
    </row>
    <row r="5" spans="1:3" ht="15" customHeight="1" x14ac:dyDescent="0.45">
      <c r="A5" s="1"/>
      <c r="B5" s="42" t="s">
        <v>251</v>
      </c>
      <c r="C5" s="43" t="s">
        <v>252</v>
      </c>
    </row>
    <row r="6" spans="1:3" ht="15" customHeight="1" x14ac:dyDescent="0.45">
      <c r="A6" s="1"/>
      <c r="B6" s="42" t="s">
        <v>253</v>
      </c>
      <c r="C6" s="43" t="s">
        <v>2</v>
      </c>
    </row>
    <row r="7" spans="1:3" ht="15" customHeight="1" x14ac:dyDescent="0.45">
      <c r="A7" s="1"/>
      <c r="B7" s="42" t="s">
        <v>254</v>
      </c>
      <c r="C7" s="43" t="s">
        <v>3</v>
      </c>
    </row>
    <row r="8" spans="1:3" ht="15" customHeight="1" x14ac:dyDescent="0.45">
      <c r="A8" s="1"/>
      <c r="B8" s="42" t="s">
        <v>255</v>
      </c>
      <c r="C8" s="43" t="s">
        <v>256</v>
      </c>
    </row>
    <row r="9" spans="1:3" ht="15" customHeight="1" x14ac:dyDescent="0.45">
      <c r="A9" s="1"/>
      <c r="B9" s="42" t="s">
        <v>257</v>
      </c>
      <c r="C9" s="43" t="s">
        <v>258</v>
      </c>
    </row>
    <row r="10" spans="1:3" ht="15" customHeight="1" x14ac:dyDescent="0.45">
      <c r="A10" s="1"/>
      <c r="B10" s="42" t="s">
        <v>259</v>
      </c>
      <c r="C10" s="43" t="s">
        <v>260</v>
      </c>
    </row>
    <row r="11" spans="1:3" ht="15" customHeight="1" x14ac:dyDescent="0.45">
      <c r="A11" s="1"/>
      <c r="B11" s="42" t="s">
        <v>261</v>
      </c>
      <c r="C11" s="43" t="s">
        <v>262</v>
      </c>
    </row>
    <row r="12" spans="1:3" ht="15" customHeight="1" x14ac:dyDescent="0.45">
      <c r="A12" s="1"/>
      <c r="B12" s="42" t="s">
        <v>263</v>
      </c>
      <c r="C12" s="43" t="s">
        <v>264</v>
      </c>
    </row>
    <row r="13" spans="1:3" ht="15" customHeight="1" x14ac:dyDescent="0.45">
      <c r="A13" s="1"/>
      <c r="B13" s="42" t="s">
        <v>265</v>
      </c>
      <c r="C13" s="43" t="s">
        <v>266</v>
      </c>
    </row>
    <row r="14" spans="1:3" ht="15" customHeight="1" x14ac:dyDescent="0.45">
      <c r="A14" s="1"/>
      <c r="B14" s="1"/>
      <c r="C14" s="43"/>
    </row>
    <row r="15" spans="1:3" ht="15" customHeight="1" x14ac:dyDescent="0.45">
      <c r="A15" s="1"/>
      <c r="B15" s="42" t="s">
        <v>267</v>
      </c>
      <c r="C15" s="43" t="s">
        <v>268</v>
      </c>
    </row>
    <row r="16" spans="1:3" ht="15" customHeight="1" x14ac:dyDescent="0.45">
      <c r="A16" s="1"/>
      <c r="B16" s="42" t="s">
        <v>269</v>
      </c>
      <c r="C16" s="43" t="s">
        <v>270</v>
      </c>
    </row>
    <row r="17" spans="1:3" ht="15" customHeight="1" x14ac:dyDescent="0.45">
      <c r="A17" s="1"/>
      <c r="B17" s="42" t="s">
        <v>271</v>
      </c>
      <c r="C17" s="43" t="s">
        <v>272</v>
      </c>
    </row>
    <row r="18" spans="1:3" ht="15" customHeight="1" x14ac:dyDescent="0.45">
      <c r="A18" s="1"/>
      <c r="B18" s="42" t="s">
        <v>273</v>
      </c>
      <c r="C18" s="43" t="s">
        <v>274</v>
      </c>
    </row>
    <row r="19" spans="1:3" ht="15" customHeight="1" x14ac:dyDescent="0.45">
      <c r="A19" s="1"/>
      <c r="B19" s="1"/>
      <c r="C19" s="43"/>
    </row>
    <row r="20" spans="1:3" ht="15" customHeight="1" x14ac:dyDescent="0.45">
      <c r="A20" s="1"/>
      <c r="B20" s="42" t="s">
        <v>275</v>
      </c>
      <c r="C20" s="43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cp:revision>0</cp:revision>
  <dcterms:created xsi:type="dcterms:W3CDTF">2026-03-25T17:31:22Z</dcterms:created>
  <dcterms:modified xsi:type="dcterms:W3CDTF">2026-04-03T00:45:17Z</dcterms:modified>
  <dc:language>en-US</dc:language>
</cp:coreProperties>
</file>