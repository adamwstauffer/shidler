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Notes" sheetId="6" state="visible" r:id="rId6"/>
  </sheets>
  <definedNames>
    <definedName name="BAL_cash_marketable_securities_curr">'Balance Sheet'!$C$7</definedName>
    <definedName name="BAL_cash_marketable_securities_prior">'Balance Sheet'!$D$7</definedName>
    <definedName name="BAL_receivables_curr">'Balance Sheet'!$C$8</definedName>
    <definedName name="BAL_receivables_prior">'Balance Sheet'!$D$8</definedName>
    <definedName name="BAL_inventories_curr">'Balance Sheet'!$C$9</definedName>
    <definedName name="BAL_inventories_prior">'Balance Sheet'!$D$9</definedName>
    <definedName name="BAL_other_current_assets_curr">'Balance Sheet'!$C$10</definedName>
    <definedName name="BAL_other_current_assets_prior">'Balance Sheet'!$D$10</definedName>
    <definedName name="BAL_assets_current_curr">'Balance Sheet'!$C$11</definedName>
    <definedName name="BAL_assets_current_prior">'Balance Sheet'!$D$11</definedName>
    <definedName name="BAL_ppe_gross_curr">'Balance Sheet'!$C$14</definedName>
    <definedName name="BAL_ppe_gross_prior">'Balance Sheet'!$D$14</definedName>
    <definedName name="BAL_accumulated_depreciation_curr">'Balance Sheet'!$C$15</definedName>
    <definedName name="BAL_accumulated_depreciation_prior">'Balance Sheet'!$D$15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other_assets_curr">'Balance Sheet'!$C$20</definedName>
    <definedName name="BAL_other_assets_prior">'Balance Sheet'!$D$20</definedName>
    <definedName name="BAL_assets_total_curr">'Balance Sheet'!$C$22</definedName>
    <definedName name="BAL_assets_total_prior">'Balance Sheet'!$D$22</definedName>
    <definedName name="BAL_debt_short_term_curr">'Balance Sheet'!$G$7</definedName>
    <definedName name="BAL_debt_short_term_prior">'Balance Sheet'!$H$7</definedName>
    <definedName name="BAL_accounts_payable_curr">'Balance Sheet'!$G$8</definedName>
    <definedName name="BAL_accounts_payable_prior">'Balance Sheet'!$H$8</definedName>
    <definedName name="BAL_other_current_liabilities_curr">'Balance Sheet'!$G$9</definedName>
    <definedName name="BAL_other_current_liabilities_prior">'Balance Sheet'!$H$9</definedName>
    <definedName name="BAL_liabilities_current_curr">'Balance Sheet'!$G$10</definedName>
    <definedName name="BAL_liabilities_current_prior">'Balance Sheet'!$H$10</definedName>
    <definedName name="BAL_debt_long_term_curr">'Balance Sheet'!$G$12</definedName>
    <definedName name="BAL_debt_long_term_prior">'Balance Sheet'!$H$12</definedName>
    <definedName name="BAL_other_long_term_liabilities_curr">'Balance Sheet'!$G$13</definedName>
    <definedName name="BAL_other_long_term_liabilities_prior">'Balance Sheet'!$H$13</definedName>
    <definedName name="BAL_liabilities_total_curr">'Balance Sheet'!$G$15</definedName>
    <definedName name="BAL_liabilities_total_prior">'Balance Sheet'!$H$15</definedName>
    <definedName name="BAL_common_stock_curr">'Balance Sheet'!$G$18</definedName>
    <definedName name="BAL_common_stock_prior">'Balance Sheet'!$H$18</definedName>
    <definedName name="BAL_retained_earnings_curr">'Balance Sheet'!$G$19</definedName>
    <definedName name="BAL_retained_earnings_prior">'Balance Sheet'!$H$19</definedName>
    <definedName name="BAL_equity_shareholders_curr">'Balance Sheet'!$G$20</definedName>
    <definedName name="BAL_equity_shareholders_prior">'Balance Sheet'!$H$20</definedName>
    <definedName name="INC_sales">'Income Statement'!$C$6</definedName>
    <definedName name="INC_cost_goods_sold">'Income Statement'!$C$7</definedName>
    <definedName name="INC_sga">'Income Statement'!$C$8</definedName>
    <definedName name="INC_depreciation">'Income Statement'!$C$9</definedName>
    <definedName name="INC_ebit">'Income Statement'!$C$10</definedName>
    <definedName name="INC_other_income">'Income Statement'!$C$11</definedName>
    <definedName name="INC_interest_expense">'Income Statement'!$C$12</definedName>
    <definedName name="INC_taxable_income">'Income Statement'!$C$13</definedName>
    <definedName name="INC_taxes">'Income Statement'!$C$14</definedName>
    <definedName name="INC_net">'Income Statement'!$C$15</definedName>
    <definedName name="INC_dividends">'Income Statement'!$C$18</definedName>
    <definedName name="INC_addition_retained_earnings">'Income Statement'!$C$19</definedName>
    <definedName name="CASH_operating">'Cash Flow Statement'!$C$16</definedName>
    <definedName name="CASH_investments">'Cash Flow Statement'!$C$22</definedName>
    <definedName name="yearCurrent">Ratios!$C$6</definedName>
    <definedName name="yearStart">Ratios!$C$7</definedName>
    <definedName name="share_price">Ratios!$C$8</definedName>
    <definedName name="shares_outstanding">Ratios!$C$9</definedName>
    <definedName name="cost_capital">Ratios!$C$10</definedName>
    <definedName name="tax_rate">Ratios!$C$11</definedName>
    <definedName name="market_capitalization">Ratios!$C$12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currentYear_after_tax_operating_income">Ratios!$C$22</definedName>
    <definedName name="currentYear_daily_sales_average">Ratios!$C$23</definedName>
    <definedName name="currentYear_equity">Ratios!$C$24</definedName>
    <definedName name="currentYear_cash_marketable_securities">Ratios!$C$25</definedName>
    <definedName name="currentYear_assets_current">Ratios!$C$26</definedName>
    <definedName name="currentYear_liabilities_current">Ratios!$C$27</definedName>
    <definedName name="currentYear_cost_goods_sold_daily">Ratios!$C$28</definedName>
    <definedName name="currentYear_debt_long_term">Ratios!$C$29</definedName>
    <definedName name="currentYear_working_capital_net">Ratios!$C$30</definedName>
    <definedName name="currentYear_assets_total">Ratios!$C$31</definedName>
    <definedName name="currentYear_total_capitalization">Ratios!$C$32</definedName>
    <definedName name="currentYear_liabilities_total">Ratios!$C$33</definedName>
    <definedName name="avg_equity">Ratios!$C$36</definedName>
    <definedName name="avg_total_assets">Ratios!$C$37</definedName>
    <definedName name="avg_total_capitalization">Ratios!$C$38</definedName>
    <definedName name="RATIO_asset_turnover">Ratios!$C$54</definedName>
    <definedName name="RATIO_operating_profit_margin">Ratios!$C$60</definedName>
    <definedName name="RATIO_debt_burden">Ratios!$C$67</definedName>
    <definedName name="RATIO_leverage">Ratios!$C$68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—&quot;"/>
    <numFmt numFmtId="165" formatCode="0.0%;(0.0%);&quot;—&quot;"/>
    <numFmt numFmtId="166" formatCode="0.0%"/>
    <numFmt numFmtId="167" formatCode="&quot;$&quot;#,##0.00"/>
    <numFmt numFmtId="168" formatCode="#,##0.00;(#,##0.00);&quot;—&quot;"/>
    <numFmt numFmtId="169" formatCode="0.00&quot;x&quot;"/>
    <numFmt numFmtId="170" formatCode="0.0&quot; days&quot;"/>
    <numFmt numFmtId="171" formatCode="0.000"/>
  </numFmts>
  <fonts count="19">
    <font>
      <name val="Calibri"/>
      <family val="2"/>
      <color theme="1"/>
      <sz val="11"/>
      <scheme val="minor"/>
    </font>
    <font>
      <name val="Open Sans"/>
      <b val="1"/>
      <color rgb="00024731"/>
      <sz val="9"/>
    </font>
    <font>
      <name val="Open Sans"/>
      <b val="1"/>
      <color rgb="00000000"/>
      <sz val="18"/>
    </font>
    <font>
      <name val="Open Sans"/>
      <color rgb="00525252"/>
      <sz val="12"/>
    </font>
    <font>
      <name val="Open Sans"/>
      <b val="1"/>
      <color rgb="00024731"/>
      <sz val="13"/>
    </font>
    <font>
      <name val="Open Sans"/>
      <b val="1"/>
      <color rgb="00024731"/>
      <sz val="10"/>
    </font>
    <font>
      <name val="Open Sans"/>
      <color rgb="00000000"/>
      <sz val="10"/>
    </font>
    <font>
      <name val="Open Sans"/>
      <b val="1"/>
      <color rgb="00FFFFFF"/>
      <sz val="11"/>
    </font>
    <font>
      <name val="Open Sans"/>
      <b val="1"/>
      <color rgb="000000FF"/>
      <sz val="10"/>
    </font>
    <font>
      <name val="Open Sans"/>
      <color rgb="00008000"/>
      <sz val="10"/>
    </font>
    <font>
      <name val="Open Sans"/>
      <b val="1"/>
      <color rgb="00000000"/>
      <sz val="10"/>
    </font>
    <font>
      <name val="Consolas"/>
      <color rgb="00525252"/>
      <sz val="10"/>
    </font>
    <font>
      <name val="Open Sans"/>
      <i val="1"/>
      <color rgb="00525252"/>
      <sz val="8"/>
    </font>
    <font>
      <name val="Open Sans"/>
      <b val="1"/>
      <color rgb="00024731"/>
      <sz val="16"/>
    </font>
    <font>
      <name val="Open Sans"/>
      <i val="1"/>
      <color rgb="00525252"/>
      <sz val="9"/>
    </font>
    <font>
      <name val="Open Sans"/>
      <i val="1"/>
      <color rgb="00525252"/>
      <sz val="10"/>
    </font>
    <font>
      <name val="Consolas"/>
      <color rgb="00525252"/>
      <sz val="9"/>
    </font>
    <font>
      <name val="Open Sans"/>
      <b val="1"/>
      <color rgb="00024731"/>
      <sz val="11"/>
    </font>
    <font>
      <name val="Open Sans"/>
      <color rgb="00024731"/>
      <sz val="10"/>
    </font>
  </fonts>
  <fills count="8">
    <fill>
      <patternFill/>
    </fill>
    <fill>
      <patternFill patternType="gray125"/>
    </fill>
    <fill>
      <patternFill patternType="solid">
        <fgColor rgb="00024731"/>
        <bgColor rgb="00024731"/>
      </patternFill>
    </fill>
    <fill>
      <patternFill patternType="solid">
        <fgColor rgb="00B2B2B2"/>
        <bgColor rgb="00B2B2B2"/>
      </patternFill>
    </fill>
    <fill>
      <patternFill patternType="solid">
        <fgColor rgb="00FFFFCC"/>
        <bgColor rgb="00FFFFCC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E6F2EF"/>
        <bgColor rgb="00E6F2EF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center" wrapText="1"/>
    </xf>
    <xf numFmtId="0" fontId="6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0" fontId="7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0" fontId="5" fillId="0" borderId="0" pivotButton="0" quotePrefix="0" xfId="0"/>
    <xf numFmtId="164" fontId="6" fillId="4" borderId="1" pivotButton="0" quotePrefix="0" xfId="0"/>
    <xf numFmtId="0" fontId="10" fillId="0" borderId="0" pivotButton="0" quotePrefix="0" xfId="0"/>
    <xf numFmtId="164" fontId="10" fillId="6" borderId="1" pivotButton="0" quotePrefix="0" xfId="0"/>
    <xf numFmtId="164" fontId="7" fillId="2" borderId="0" pivotButton="0" quotePrefix="0" xfId="0"/>
    <xf numFmtId="0" fontId="7" fillId="2" borderId="1" pivotButton="0" quotePrefix="0" xfId="0"/>
    <xf numFmtId="166" fontId="9" fillId="0" borderId="0" pivotButton="0" quotePrefix="0" xfId="0"/>
    <xf numFmtId="165" fontId="9" fillId="0" borderId="0" pivotButton="0" quotePrefix="0" xfId="0"/>
    <xf numFmtId="165" fontId="7" fillId="2" borderId="0" pivotButton="0" quotePrefix="0" xfId="0"/>
    <xf numFmtId="164" fontId="9" fillId="0" borderId="0" pivotButton="0" quotePrefix="0" xfId="0"/>
    <xf numFmtId="0" fontId="15" fillId="0" borderId="0" pivotButton="0" quotePrefix="0" xfId="0"/>
    <xf numFmtId="1" fontId="8" fillId="5" borderId="1" pivotButton="0" quotePrefix="0" xfId="0"/>
    <xf numFmtId="0" fontId="16" fillId="0" borderId="0" pivotButton="0" quotePrefix="0" xfId="0"/>
    <xf numFmtId="1" fontId="9" fillId="0" borderId="1" pivotButton="0" quotePrefix="0" xfId="0"/>
    <xf numFmtId="167" fontId="8" fillId="5" borderId="1" pivotButton="0" quotePrefix="0" xfId="0"/>
    <xf numFmtId="3" fontId="8" fillId="5" borderId="1" pivotButton="0" quotePrefix="0" xfId="0"/>
    <xf numFmtId="166" fontId="8" fillId="5" borderId="1" pivotButton="0" quotePrefix="0" xfId="0"/>
    <xf numFmtId="3" fontId="9" fillId="0" borderId="1" pivotButton="0" quotePrefix="0" xfId="0"/>
    <xf numFmtId="0" fontId="17" fillId="7" borderId="0" pivotButton="0" quotePrefix="0" xfId="0"/>
    <xf numFmtId="164" fontId="9" fillId="0" borderId="1" pivotButton="0" quotePrefix="0" xfId="0"/>
    <xf numFmtId="168" fontId="9" fillId="0" borderId="1" pivotButton="0" quotePrefix="0" xfId="0"/>
    <xf numFmtId="164" fontId="6" fillId="6" borderId="1" applyAlignment="1" pivotButton="0" quotePrefix="0" xfId="0">
      <alignment horizontal="right"/>
    </xf>
    <xf numFmtId="169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170" fontId="6" fillId="6" borderId="1" applyAlignment="1" pivotButton="0" quotePrefix="0" xfId="0">
      <alignment horizontal="right"/>
    </xf>
    <xf numFmtId="171" fontId="6" fillId="6" borderId="1" applyAlignment="1" pivotButton="0" quotePrefix="0" xfId="0">
      <alignment horizontal="right"/>
    </xf>
    <xf numFmtId="49" fontId="18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  <col width="2" customWidth="1" min="4" max="4"/>
  </cols>
  <sheetData>
    <row r="2" ht="8" customHeight="1">
      <c r="B2" s="1" t="n"/>
      <c r="C2" s="1" t="n"/>
    </row>
    <row r="4">
      <c r="B4" s="2" t="inlineStr">
        <is>
          <t>UNIVERSITY OF HAWAIʻI AT MĀNOA · SHIDLER COLLEGE OF BUSINESS</t>
        </is>
      </c>
    </row>
    <row r="5">
      <c r="B5" s="3" t="inlineStr">
        <is>
          <t>BUS-314 International Corporate Finance</t>
        </is>
      </c>
    </row>
    <row r="6">
      <c r="B6" s="4" t="inlineStr">
        <is>
          <t>Accounting &amp; Performance Ratios — Excel Template</t>
        </is>
      </c>
    </row>
    <row r="7" ht="4" customHeight="1">
      <c r="B7" s="5" t="n"/>
      <c r="C7" s="5" t="n"/>
    </row>
    <row r="9">
      <c r="B9" s="6" t="inlineStr">
        <is>
          <t>How to Use This Template</t>
        </is>
      </c>
    </row>
    <row r="10" ht="18" customHeight="1">
      <c r="B10" s="7" t="inlineStr">
        <is>
          <t>1.</t>
        </is>
      </c>
      <c r="C10" s="8" t="inlineStr">
        <is>
          <t>Enter prior-year and current-year balance-sheet figures on the Balance Sheet tab.</t>
        </is>
      </c>
    </row>
    <row r="11" ht="18" customHeight="1">
      <c r="B11" s="7" t="inlineStr">
        <is>
          <t>2.</t>
        </is>
      </c>
      <c r="C11" s="8" t="inlineStr">
        <is>
          <t>Enter current-year income-statement figures on the Income Statement tab.</t>
        </is>
      </c>
    </row>
    <row r="12" ht="18" customHeight="1">
      <c r="B12" s="7" t="inlineStr">
        <is>
          <t>3.</t>
        </is>
      </c>
      <c r="C12" s="8" t="inlineStr">
        <is>
          <t>Enter current-year cash-flow items on the Cash Flow Statement tab.</t>
        </is>
      </c>
    </row>
    <row r="13" ht="18" customHeight="1">
      <c r="B13" s="7" t="inlineStr">
        <is>
          <t>4.</t>
        </is>
      </c>
      <c r="C13" s="8" t="inlineStr">
        <is>
          <t>On the Ratios tab, enter the four analyst assumptions at top: share price, shares outstanding, cost of capital, tax rate. Also enter the current/prior fiscal years.</t>
        </is>
      </c>
    </row>
    <row r="14" ht="18" customHeight="1">
      <c r="B14" s="7" t="inlineStr">
        <is>
          <t>5.</t>
        </is>
      </c>
      <c r="C14" s="8" t="inlineStr">
        <is>
          <t>On the Ratios tab Outputs section, compute each ratio in column C using the named-range formulas shown in column D. The Du Pont ROA self-check on column F confirms your work.</t>
        </is>
      </c>
    </row>
    <row r="15" ht="18" customHeight="1">
      <c r="B15" s="7" t="inlineStr">
        <is>
          <t>6.</t>
        </is>
      </c>
      <c r="C15" s="8" t="inlineStr">
        <is>
          <t>Document company metadata, data source, and AI usage on the Notes tab.</t>
        </is>
      </c>
    </row>
    <row r="17">
      <c r="B17" s="6" t="inlineStr">
        <is>
          <t>Color Key</t>
        </is>
      </c>
    </row>
    <row r="18">
      <c r="B18" s="9" t="inlineStr">
        <is>
          <t>Style</t>
        </is>
      </c>
      <c r="C18" s="9" t="inlineStr">
        <is>
          <t>Meaning</t>
        </is>
      </c>
    </row>
    <row r="19" ht="30" customHeight="1">
      <c r="B19" s="10" t="inlineStr">
        <is>
          <t>Sample</t>
        </is>
      </c>
      <c r="C19" s="11" t="inlineStr">
        <is>
          <t>Yellow background — DATA INPUTS. Numbers pulled from 10-K / financial statements. Overwrite with your company's figures.</t>
        </is>
      </c>
    </row>
    <row r="20" ht="30" customHeight="1">
      <c r="B20" s="12" t="inlineStr">
        <is>
          <t>12.3%</t>
        </is>
      </c>
      <c r="C20" s="11" t="inlineStr">
        <is>
          <t>Light-blue background + blue text — ASSUMPTIONS. Analyst inputs: share price, shares outstanding, WACC, tax rate, fiscal years.</t>
        </is>
      </c>
    </row>
    <row r="21" ht="30" customHeight="1">
      <c r="B21" s="13" t="inlineStr">
        <is>
          <t>f(x)</t>
        </is>
      </c>
      <c r="C21" s="11" t="inlineStr">
        <is>
          <t>Green text — FORMULAS. Cross-sheet references and derived calculations. Do not overwrite.</t>
        </is>
      </c>
    </row>
    <row r="22" ht="30" customHeight="1">
      <c r="B22" s="14" t="inlineStr">
        <is>
          <t>1.23x</t>
        </is>
      </c>
      <c r="C22" s="11" t="inlineStr">
        <is>
          <t>Gray background — RATIO OUTPUTS. Compute each ratio in column C using the named-range formulas shown alongside in column D.</t>
        </is>
      </c>
    </row>
    <row r="24">
      <c r="B24" s="6" t="inlineStr">
        <is>
          <t>Named-Range Convention</t>
        </is>
      </c>
    </row>
    <row r="25">
      <c r="B25" s="9" t="inlineStr">
        <is>
          <t>Prefix / Pattern</t>
        </is>
      </c>
      <c r="C25" s="9" t="inlineStr">
        <is>
          <t>Meaning</t>
        </is>
      </c>
    </row>
    <row r="26" ht="24" customHeight="1">
      <c r="B26" s="15" t="inlineStr">
        <is>
          <t>BAL_[item]_[yr]</t>
        </is>
      </c>
      <c r="C26" s="11" t="inlineStr">
        <is>
          <t>Balance-sheet line items, suffixed with fiscal year (e.g., BAL_assets_total_2024).</t>
        </is>
      </c>
    </row>
    <row r="27" ht="24" customHeight="1">
      <c r="B27" s="15" t="inlineStr">
        <is>
          <t>INC_[item]</t>
        </is>
      </c>
      <c r="C27" s="11" t="inlineStr">
        <is>
          <t>Income-statement items (e.g., INC_sales, INC_ebit, INC_net).</t>
        </is>
      </c>
    </row>
    <row r="28" ht="24" customHeight="1">
      <c r="B28" s="15" t="inlineStr">
        <is>
          <t>CASH_[item]</t>
        </is>
      </c>
      <c r="C28" s="11" t="inlineStr">
        <is>
          <t>Cash-flow items (e.g., CASH_operating).</t>
        </is>
      </c>
    </row>
    <row r="29" ht="24" customHeight="1">
      <c r="B29" s="15" t="inlineStr">
        <is>
          <t>share_price, shares_outstanding, cost_capital, tax_rate</t>
        </is>
      </c>
      <c r="C29" s="11" t="inlineStr">
        <is>
          <t>Analyst assumptions (no prefix).</t>
        </is>
      </c>
    </row>
    <row r="30" ht="24" customHeight="1">
      <c r="B30" s="15" t="inlineStr">
        <is>
          <t>startYear_[item]</t>
        </is>
      </c>
      <c r="C30" s="11" t="inlineStr">
        <is>
          <t>Alias for prior-year balance (e.g., startYear_equity ≡ BAL_equity_shareholders_prior).</t>
        </is>
      </c>
    </row>
    <row r="31" ht="24" customHeight="1">
      <c r="B31" s="15" t="inlineStr">
        <is>
          <t>currentYear_[item]</t>
        </is>
      </c>
      <c r="C31" s="11" t="inlineStr">
        <is>
          <t>Alias for current-year balance or derived current-year figure.</t>
        </is>
      </c>
    </row>
    <row r="32" ht="24" customHeight="1">
      <c r="B32" s="15" t="inlineStr">
        <is>
          <t>avg_[item]</t>
        </is>
      </c>
      <c r="C32" s="11" t="inlineStr">
        <is>
          <t>Mean of start-of-year and current-year (e.g., avg_equity).</t>
        </is>
      </c>
    </row>
    <row r="33" ht="24" customHeight="1">
      <c r="B33" s="15" t="inlineStr">
        <is>
          <t>RATIO_[name]</t>
        </is>
      </c>
      <c r="C33" s="11" t="inlineStr">
        <is>
          <t>Key ratios reused in Du Pont decomposition (asset_turnover, operating_profit_margin, leverage, debt_burden).</t>
        </is>
      </c>
    </row>
    <row r="36">
      <c r="B36" s="6" t="inlineStr">
        <is>
          <t>Companion Specification</t>
        </is>
      </c>
    </row>
    <row r="37">
      <c r="B37" s="16" t="inlineStr">
        <is>
          <t>See:</t>
        </is>
      </c>
      <c r="C37" s="17" t="inlineStr">
        <is>
          <t>accounting-ratios/_templates/example-spec-template.md</t>
        </is>
      </c>
    </row>
    <row r="38">
      <c r="B38" s="16" t="inlineStr">
        <is>
          <t>Skill:</t>
        </is>
      </c>
      <c r="C38" s="17" t="inlineStr">
        <is>
          <t>.claude/skills/bus314-accounting-ratios/SKILL.md</t>
        </is>
      </c>
    </row>
    <row r="41">
      <c r="B41" s="18" t="inlineStr">
        <is>
          <t>Prepared per UH Mānoa brand standards (docs/_branding/design.json). Primary green #024731 · Open Sans typography · ADA-compliant contrast.</t>
        </is>
      </c>
    </row>
  </sheetData>
  <mergeCells count="8">
    <mergeCell ref="B6:C6"/>
    <mergeCell ref="B24:C24"/>
    <mergeCell ref="B5:C5"/>
    <mergeCell ref="B41:C41"/>
    <mergeCell ref="B36:C36"/>
    <mergeCell ref="B17:C17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16" customWidth="1" min="4" max="4"/>
    <col width="2" customWidth="1" min="5" max="5"/>
    <col width="38" customWidth="1" min="6" max="6"/>
    <col width="16" customWidth="1" min="7" max="7"/>
    <col width="16" customWidth="1" min="8" max="8"/>
  </cols>
  <sheetData>
    <row r="2">
      <c r="B2" s="19" t="inlineStr">
        <is>
          <t>Balance Sheet</t>
        </is>
      </c>
    </row>
    <row r="3">
      <c r="B3" s="20" t="inlineStr">
        <is>
          <t>All figures in $millions unless otherwise noted</t>
        </is>
      </c>
    </row>
    <row r="5">
      <c r="B5" s="21" t="inlineStr">
        <is>
          <t>ASSETS</t>
        </is>
      </c>
      <c r="C5" s="22" t="inlineStr">
        <is>
          <t>FY Current</t>
        </is>
      </c>
      <c r="D5" s="22" t="inlineStr">
        <is>
          <t>FY Prior</t>
        </is>
      </c>
      <c r="F5" s="21" t="inlineStr">
        <is>
          <t>LIABILITIES &amp; EQUITY</t>
        </is>
      </c>
      <c r="G5" s="22" t="inlineStr">
        <is>
          <t>FY Current</t>
        </is>
      </c>
      <c r="H5" s="22" t="inlineStr">
        <is>
          <t>FY Prior</t>
        </is>
      </c>
    </row>
    <row r="6">
      <c r="B6" s="23" t="inlineStr">
        <is>
          <t>Current Assets</t>
        </is>
      </c>
      <c r="F6" s="23" t="inlineStr">
        <is>
          <t>Current Liabilities</t>
        </is>
      </c>
    </row>
    <row r="7">
      <c r="B7" s="16" t="inlineStr">
        <is>
          <t>Cash and marketable securities</t>
        </is>
      </c>
      <c r="C7" s="24" t="n"/>
      <c r="D7" s="24" t="n"/>
      <c r="F7" s="16" t="inlineStr">
        <is>
          <t>Debt due for repayment</t>
        </is>
      </c>
      <c r="G7" s="24" t="n"/>
      <c r="H7" s="24" t="n"/>
    </row>
    <row r="8">
      <c r="B8" s="16" t="inlineStr">
        <is>
          <t>Receivables</t>
        </is>
      </c>
      <c r="C8" s="24" t="n"/>
      <c r="D8" s="24" t="n"/>
      <c r="F8" s="16" t="inlineStr">
        <is>
          <t>Accounts payable</t>
        </is>
      </c>
      <c r="G8" s="24" t="n"/>
      <c r="H8" s="24" t="n"/>
    </row>
    <row r="9">
      <c r="B9" s="16" t="inlineStr">
        <is>
          <t>Inventories</t>
        </is>
      </c>
      <c r="C9" s="24" t="n"/>
      <c r="D9" s="24" t="n"/>
      <c r="F9" s="16" t="inlineStr">
        <is>
          <t>Other current liabilities</t>
        </is>
      </c>
      <c r="G9" s="24" t="n"/>
      <c r="H9" s="24" t="n"/>
    </row>
    <row r="10">
      <c r="B10" s="16" t="inlineStr">
        <is>
          <t>Other current assets</t>
        </is>
      </c>
      <c r="C10" s="24" t="n"/>
      <c r="D10" s="24" t="n"/>
      <c r="F10" s="25" t="inlineStr">
        <is>
          <t xml:space="preserve">   Total current liabilities</t>
        </is>
      </c>
      <c r="G10" s="26">
        <f>SUM(G7:G9)</f>
        <v/>
      </c>
      <c r="H10" s="26">
        <f>SUM(H7:H9)</f>
        <v/>
      </c>
    </row>
    <row r="11">
      <c r="B11" s="25" t="inlineStr">
        <is>
          <t xml:space="preserve">   Total current assets</t>
        </is>
      </c>
      <c r="C11" s="26">
        <f>SUM(C7:C10)</f>
        <v/>
      </c>
      <c r="D11" s="26">
        <f>SUM(D7:D10)</f>
        <v/>
      </c>
      <c r="F11" t="inlineStr"/>
    </row>
    <row r="12">
      <c r="B12" t="inlineStr"/>
      <c r="F12" s="16" t="inlineStr">
        <is>
          <t>Long-term debt</t>
        </is>
      </c>
      <c r="G12" s="24" t="n"/>
      <c r="H12" s="24" t="n"/>
    </row>
    <row r="13">
      <c r="B13" s="23" t="inlineStr">
        <is>
          <t>Fixed Assets</t>
        </is>
      </c>
      <c r="F13" s="16" t="inlineStr">
        <is>
          <t>Other long-term liabilities</t>
        </is>
      </c>
      <c r="G13" s="24" t="n"/>
      <c r="H13" s="24" t="n"/>
    </row>
    <row r="14">
      <c r="B14" s="16" t="inlineStr">
        <is>
          <t>Property, plant, and equipment</t>
        </is>
      </c>
      <c r="C14" s="24" t="n"/>
      <c r="D14" s="24" t="n"/>
      <c r="F14" t="inlineStr"/>
    </row>
    <row r="15">
      <c r="B15" s="16" t="inlineStr">
        <is>
          <t>Less accumulated depreciation</t>
        </is>
      </c>
      <c r="C15" s="24" t="n"/>
      <c r="D15" s="24" t="n"/>
      <c r="F15" s="25" t="inlineStr">
        <is>
          <t>Total Liabilities</t>
        </is>
      </c>
      <c r="G15" s="26">
        <f>G10+G12+G13</f>
        <v/>
      </c>
      <c r="H15" s="26">
        <f>H10+H12+H13</f>
        <v/>
      </c>
    </row>
    <row r="16">
      <c r="B16" s="25" t="inlineStr">
        <is>
          <t xml:space="preserve">   Net tangible fixed assets</t>
        </is>
      </c>
      <c r="C16" s="26">
        <f>C14-C15</f>
        <v/>
      </c>
      <c r="D16" s="26">
        <f>D14-D15</f>
        <v/>
      </c>
      <c r="F16" t="inlineStr"/>
    </row>
    <row r="17">
      <c r="B17" t="inlineStr"/>
      <c r="F17" s="23" t="inlineStr">
        <is>
          <t>SHAREHOLDERS' EQUITY</t>
        </is>
      </c>
    </row>
    <row r="18">
      <c r="B18" s="23" t="inlineStr">
        <is>
          <t>Other Assets</t>
        </is>
      </c>
      <c r="F18" s="16" t="inlineStr">
        <is>
          <t>Common stock and paid-in capital</t>
        </is>
      </c>
      <c r="G18" s="24" t="n"/>
      <c r="H18" s="24" t="n"/>
    </row>
    <row r="19">
      <c r="B19" s="16" t="inlineStr">
        <is>
          <t>Intangible assets (goodwill)</t>
        </is>
      </c>
      <c r="C19" s="24" t="n"/>
      <c r="D19" s="24" t="n"/>
      <c r="F19" s="16" t="inlineStr">
        <is>
          <t>Retained earnings</t>
        </is>
      </c>
      <c r="G19" s="24" t="n"/>
      <c r="H19" s="24" t="n"/>
    </row>
    <row r="20">
      <c r="B20" s="16" t="inlineStr">
        <is>
          <t>Other assets</t>
        </is>
      </c>
      <c r="C20" s="24" t="n"/>
      <c r="D20" s="24" t="n"/>
      <c r="F20" s="25" t="inlineStr">
        <is>
          <t xml:space="preserve">   Total shareholders' equity</t>
        </is>
      </c>
      <c r="G20" s="26">
        <f>G18+G19</f>
        <v/>
      </c>
      <c r="H20" s="26">
        <f>H18+H19</f>
        <v/>
      </c>
    </row>
    <row r="21">
      <c r="B21" t="inlineStr"/>
      <c r="F21" t="inlineStr"/>
    </row>
    <row r="22">
      <c r="B22" s="9" t="inlineStr">
        <is>
          <t>Total Assets</t>
        </is>
      </c>
      <c r="C22" s="27">
        <f>C11+C16+C19+C20</f>
        <v/>
      </c>
      <c r="D22" s="27">
        <f>D11+D16+D19+D20</f>
        <v/>
      </c>
      <c r="F22" t="inlineStr"/>
    </row>
    <row r="23">
      <c r="F23" s="9" t="inlineStr">
        <is>
          <t>Total Liabilities + Equity</t>
        </is>
      </c>
      <c r="G23" s="27">
        <f>G15+G20</f>
        <v/>
      </c>
      <c r="H23" s="27">
        <f>H15+H20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5" customWidth="1" min="2" max="2"/>
    <col width="16" customWidth="1" min="3" max="3"/>
    <col width="14" customWidth="1" min="4" max="4"/>
  </cols>
  <sheetData>
    <row r="2">
      <c r="B2" s="19" t="inlineStr">
        <is>
          <t>Income Statement</t>
        </is>
      </c>
    </row>
    <row r="3">
      <c r="B3" s="20" t="inlineStr">
        <is>
          <t>Current fiscal year · figures in $millions</t>
        </is>
      </c>
    </row>
    <row r="5">
      <c r="B5" s="28" t="inlineStr">
        <is>
          <t>Line Item</t>
        </is>
      </c>
      <c r="C5" s="28" t="inlineStr">
        <is>
          <t>Amount</t>
        </is>
      </c>
      <c r="D5" s="28" t="inlineStr">
        <is>
          <t>% of Sales</t>
        </is>
      </c>
    </row>
    <row r="6">
      <c r="B6" s="16" t="inlineStr">
        <is>
          <t>Net sales</t>
        </is>
      </c>
      <c r="C6" s="24" t="n"/>
      <c r="D6" s="29" t="n">
        <v>1</v>
      </c>
    </row>
    <row r="7">
      <c r="B7" s="16" t="inlineStr">
        <is>
          <t>less Cost of goods sold</t>
        </is>
      </c>
      <c r="C7" s="24" t="n"/>
      <c r="D7" s="30">
        <f>IFERROR(C7/$C$6,"")</f>
        <v/>
      </c>
    </row>
    <row r="8">
      <c r="B8" s="16" t="inlineStr">
        <is>
          <t>less Selling, general &amp; administrative expenses</t>
        </is>
      </c>
      <c r="C8" s="24" t="n"/>
      <c r="D8" s="30">
        <f>IFERROR(C8/$C$6,"")</f>
        <v/>
      </c>
    </row>
    <row r="9">
      <c r="B9" s="16" t="inlineStr">
        <is>
          <t>less Depreciation</t>
        </is>
      </c>
      <c r="C9" s="24" t="n"/>
      <c r="D9" s="30">
        <f>IFERROR(C9/$C$6,"")</f>
        <v/>
      </c>
    </row>
    <row r="10">
      <c r="B10" s="25" t="inlineStr">
        <is>
          <t xml:space="preserve">   Earnings before interest and taxes (EBIT)</t>
        </is>
      </c>
      <c r="C10" s="26">
        <f>C6-C7-C8-C9</f>
        <v/>
      </c>
      <c r="D10" s="30">
        <f>IFERROR(C10/$C$6,"")</f>
        <v/>
      </c>
    </row>
    <row r="11">
      <c r="B11" s="16" t="inlineStr">
        <is>
          <t>plus Other income</t>
        </is>
      </c>
      <c r="C11" s="24" t="n"/>
      <c r="D11" s="30">
        <f>IFERROR(C11/$C$6,"")</f>
        <v/>
      </c>
    </row>
    <row r="12">
      <c r="B12" s="16" t="inlineStr">
        <is>
          <t>less Interest expense</t>
        </is>
      </c>
      <c r="C12" s="24" t="n"/>
      <c r="D12" s="30">
        <f>IFERROR(C12/$C$6,"")</f>
        <v/>
      </c>
    </row>
    <row r="13">
      <c r="B13" s="25" t="inlineStr">
        <is>
          <t xml:space="preserve">   Taxable income</t>
        </is>
      </c>
      <c r="C13" s="26">
        <f>C10+C11-C12</f>
        <v/>
      </c>
      <c r="D13" s="30">
        <f>IFERROR(C13/$C$6,"")</f>
        <v/>
      </c>
    </row>
    <row r="14">
      <c r="B14" s="16" t="inlineStr">
        <is>
          <t>less Taxes</t>
        </is>
      </c>
      <c r="C14" s="24" t="n"/>
      <c r="D14" s="30">
        <f>IFERROR(C14/$C$6,"")</f>
        <v/>
      </c>
    </row>
    <row r="15">
      <c r="B15" s="9" t="inlineStr">
        <is>
          <t xml:space="preserve">   Net income</t>
        </is>
      </c>
      <c r="C15" s="27">
        <f>C13-C14</f>
        <v/>
      </c>
      <c r="D15" s="31">
        <f>IFERROR(C15/$C$6,"")</f>
        <v/>
      </c>
    </row>
    <row r="16">
      <c r="B16" t="inlineStr"/>
    </row>
    <row r="17">
      <c r="B17" s="23" t="inlineStr">
        <is>
          <t>Allocation of net income</t>
        </is>
      </c>
    </row>
    <row r="18">
      <c r="B18" s="16" t="inlineStr">
        <is>
          <t xml:space="preserve">   Dividends</t>
        </is>
      </c>
      <c r="C18" s="24" t="n"/>
      <c r="D18" s="30">
        <f>IFERROR(C18/$C$6,"")</f>
        <v/>
      </c>
    </row>
    <row r="19">
      <c r="B19" s="25" t="inlineStr">
        <is>
          <t xml:space="preserve">   Addition to retained earnings</t>
        </is>
      </c>
      <c r="C19" s="26">
        <f>C15-C18</f>
        <v/>
      </c>
      <c r="D19" s="30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6" customWidth="1" min="3" max="3"/>
    <col width="24" customWidth="1" min="4" max="4"/>
  </cols>
  <sheetData>
    <row r="2">
      <c r="B2" s="19" t="inlineStr">
        <is>
          <t>Cash Flow Statement</t>
        </is>
      </c>
    </row>
    <row r="3">
      <c r="B3" s="20" t="inlineStr">
        <is>
          <t>Current fiscal year · figures in $millions</t>
        </is>
      </c>
    </row>
    <row r="5">
      <c r="B5" s="28" t="inlineStr">
        <is>
          <t>Line Item</t>
        </is>
      </c>
      <c r="C5" s="28" t="inlineStr">
        <is>
          <t>Amount</t>
        </is>
      </c>
      <c r="D5" s="28" t="inlineStr">
        <is>
          <t>Source / Notes</t>
        </is>
      </c>
    </row>
    <row r="6">
      <c r="B6" s="23" t="inlineStr">
        <is>
          <t>Operations:</t>
        </is>
      </c>
      <c r="D6" s="20" t="inlineStr"/>
    </row>
    <row r="7">
      <c r="B7" s="16" t="inlineStr">
        <is>
          <t>Net income</t>
        </is>
      </c>
      <c r="C7" s="32">
        <f>INC_net</f>
        <v/>
      </c>
      <c r="D7" s="20" t="inlineStr">
        <is>
          <t>[Income Statement]</t>
        </is>
      </c>
    </row>
    <row r="8">
      <c r="B8" s="16" t="inlineStr">
        <is>
          <t>plus Depreciation</t>
        </is>
      </c>
      <c r="C8" s="32">
        <f>INC_depreciation</f>
        <v/>
      </c>
      <c r="D8" s="20" t="inlineStr">
        <is>
          <t>[Income Statement]</t>
        </is>
      </c>
    </row>
    <row r="9">
      <c r="B9" s="33" t="inlineStr">
        <is>
          <t xml:space="preserve">   plus Changes in working capital items</t>
        </is>
      </c>
      <c r="D9" s="20" t="inlineStr"/>
    </row>
    <row r="10">
      <c r="B10" s="16" t="inlineStr">
        <is>
          <t xml:space="preserve">      Decrease (increase) in accounts receivable</t>
        </is>
      </c>
      <c r="C10" s="24" t="n"/>
      <c r="D10" s="20" t="inlineStr">
        <is>
          <t>[Balance Sheet]</t>
        </is>
      </c>
    </row>
    <row r="11">
      <c r="B11" s="16" t="inlineStr">
        <is>
          <t xml:space="preserve">      Decrease (increase) in inventories</t>
        </is>
      </c>
      <c r="C11" s="24" t="n"/>
      <c r="D11" s="20" t="inlineStr">
        <is>
          <t>[Balance Sheet]</t>
        </is>
      </c>
    </row>
    <row r="12">
      <c r="B12" s="16" t="inlineStr">
        <is>
          <t xml:space="preserve">      Decrease (increase) in other current assets</t>
        </is>
      </c>
      <c r="C12" s="24" t="n"/>
      <c r="D12" s="20" t="inlineStr">
        <is>
          <t>[Balance Sheet]</t>
        </is>
      </c>
    </row>
    <row r="13">
      <c r="B13" s="16" t="inlineStr">
        <is>
          <t xml:space="preserve">      Increase (decrease) in accounts payable</t>
        </is>
      </c>
      <c r="C13" s="24" t="n"/>
      <c r="D13" s="20" t="inlineStr">
        <is>
          <t>[Balance Sheet]</t>
        </is>
      </c>
    </row>
    <row r="14">
      <c r="B14" s="16" t="inlineStr">
        <is>
          <t xml:space="preserve">      Increase (decrease) in other current liabilities</t>
        </is>
      </c>
      <c r="C14" s="24" t="n"/>
      <c r="D14" s="20" t="inlineStr">
        <is>
          <t>[Balance Sheet]</t>
        </is>
      </c>
    </row>
    <row r="15">
      <c r="B15" s="25" t="inlineStr">
        <is>
          <t xml:space="preserve">         Total change in working capital</t>
        </is>
      </c>
      <c r="C15" s="26">
        <f>SUM(C10:C14)</f>
        <v/>
      </c>
      <c r="D15" s="20" t="inlineStr"/>
    </row>
    <row r="16">
      <c r="B16" s="9" t="inlineStr">
        <is>
          <t xml:space="preserve">   Cash provided by operations</t>
        </is>
      </c>
      <c r="C16" s="27">
        <f>C7+C8+C15</f>
        <v/>
      </c>
      <c r="D16" s="20" t="inlineStr"/>
    </row>
    <row r="17">
      <c r="B17" t="inlineStr"/>
      <c r="D17" s="20" t="inlineStr"/>
    </row>
    <row r="18">
      <c r="B18" s="23" t="inlineStr">
        <is>
          <t>Investments:</t>
        </is>
      </c>
      <c r="D18" s="20" t="inlineStr"/>
    </row>
    <row r="19">
      <c r="B19" s="16" t="inlineStr">
        <is>
          <t>Capital expenditures</t>
        </is>
      </c>
      <c r="C19" s="24" t="n"/>
      <c r="D19" s="20" t="inlineStr"/>
    </row>
    <row r="20">
      <c r="B20" s="16" t="inlineStr">
        <is>
          <t>plus Sales (acquisitions) of long-term assets</t>
        </is>
      </c>
      <c r="C20" s="24" t="n"/>
      <c r="D20" s="20" t="inlineStr"/>
    </row>
    <row r="21">
      <c r="B21" s="16" t="inlineStr">
        <is>
          <t>plus Other investing activities</t>
        </is>
      </c>
      <c r="C21" s="24" t="n"/>
      <c r="D21" s="20" t="inlineStr"/>
    </row>
    <row r="22">
      <c r="B22" s="9" t="inlineStr">
        <is>
          <t xml:space="preserve">   Cash provided by (used for) investments</t>
        </is>
      </c>
      <c r="C22" s="27">
        <f>SUM(C19:C21)</f>
        <v/>
      </c>
      <c r="D22" s="20" t="inlineStr"/>
    </row>
    <row r="23">
      <c r="B23" t="inlineStr"/>
      <c r="D23" s="20" t="inlineStr"/>
    </row>
    <row r="24">
      <c r="B24" s="23" t="inlineStr">
        <is>
          <t>Financing activities:</t>
        </is>
      </c>
      <c r="D24" s="20" t="inlineStr"/>
    </row>
    <row r="25">
      <c r="B25" s="16" t="inlineStr">
        <is>
          <t>Increase (decrease) in short-term debt</t>
        </is>
      </c>
      <c r="C25" s="24" t="n"/>
      <c r="D25" s="20" t="inlineStr"/>
    </row>
    <row r="26">
      <c r="B26" s="16" t="inlineStr">
        <is>
          <t>plus Increase (decrease) in long-term debt</t>
        </is>
      </c>
      <c r="C26" s="24" t="n"/>
      <c r="D26" s="20" t="inlineStr"/>
    </row>
    <row r="27">
      <c r="B27" s="16" t="inlineStr">
        <is>
          <t>plus Dividends paid</t>
        </is>
      </c>
      <c r="C27" s="24" t="n"/>
      <c r="D27" s="20" t="inlineStr"/>
    </row>
    <row r="28">
      <c r="B28" s="16" t="inlineStr">
        <is>
          <t>plus Issues (repurchases) of stock</t>
        </is>
      </c>
      <c r="C28" s="24" t="n"/>
      <c r="D28" s="20" t="inlineStr"/>
    </row>
    <row r="29">
      <c r="B29" s="16" t="inlineStr">
        <is>
          <t>plus Other</t>
        </is>
      </c>
      <c r="C29" s="24" t="n"/>
      <c r="D29" s="20" t="inlineStr"/>
    </row>
    <row r="30">
      <c r="B30" s="9" t="inlineStr">
        <is>
          <t xml:space="preserve">   Cash provided by (used for) financing</t>
        </is>
      </c>
      <c r="C30" s="27">
        <f>SUM(C25:C29)</f>
        <v/>
      </c>
      <c r="D30" s="20" t="inlineStr"/>
    </row>
    <row r="31">
      <c r="B31" t="inlineStr"/>
      <c r="D31" s="20" t="inlineStr"/>
    </row>
    <row r="32">
      <c r="B32" s="9" t="inlineStr">
        <is>
          <t>Net increase (decrease) in cash</t>
        </is>
      </c>
      <c r="C32" s="27">
        <f>C16+C22+C30</f>
        <v/>
      </c>
      <c r="D32" s="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62" customWidth="1" min="4" max="4"/>
    <col width="36" customWidth="1" min="5" max="5"/>
    <col width="28" customWidth="1" min="6" max="6"/>
  </cols>
  <sheetData>
    <row r="2">
      <c r="B2" s="19" t="inlineStr">
        <is>
          <t>Ratios &amp; Derived Inputs</t>
        </is>
      </c>
    </row>
    <row r="3">
      <c r="B3" s="20" t="inlineStr">
        <is>
          <t>Enter the four assumptions at top; all ratios populate automatically.</t>
        </is>
      </c>
    </row>
    <row r="5">
      <c r="B5" s="28" t="inlineStr">
        <is>
          <t>Metric</t>
        </is>
      </c>
      <c r="C5" s="28" t="inlineStr">
        <is>
          <t>Input</t>
        </is>
      </c>
      <c r="D5" s="28" t="inlineStr">
        <is>
          <t>Named Range Formula</t>
        </is>
      </c>
      <c r="E5" s="28" t="inlineStr">
        <is>
          <t>Named Range</t>
        </is>
      </c>
    </row>
    <row r="6">
      <c r="B6" s="16" t="inlineStr">
        <is>
          <t>Current fiscal year</t>
        </is>
      </c>
      <c r="C6" s="34" t="n">
        <v>2024</v>
      </c>
      <c r="D6" s="35" t="n"/>
      <c r="E6" s="35" t="inlineStr">
        <is>
          <t>yearCurrent</t>
        </is>
      </c>
    </row>
    <row r="7">
      <c r="B7" s="16" t="inlineStr">
        <is>
          <t>Start of year (prior)</t>
        </is>
      </c>
      <c r="C7" s="36">
        <f>yearCurrent-1</f>
        <v/>
      </c>
      <c r="D7" s="35" t="inlineStr">
        <is>
          <t>yearCurrent - 1</t>
        </is>
      </c>
      <c r="E7" s="35" t="inlineStr">
        <is>
          <t>yearStart</t>
        </is>
      </c>
    </row>
    <row r="8">
      <c r="B8" s="16" t="inlineStr">
        <is>
          <t>Share price</t>
        </is>
      </c>
      <c r="C8" s="37" t="n"/>
      <c r="D8" s="35" t="n"/>
      <c r="E8" s="35" t="inlineStr">
        <is>
          <t>share_price</t>
        </is>
      </c>
    </row>
    <row r="9">
      <c r="B9" s="16" t="inlineStr">
        <is>
          <t>Shares outstanding (M)</t>
        </is>
      </c>
      <c r="C9" s="38" t="n"/>
      <c r="D9" s="35" t="n"/>
      <c r="E9" s="35" t="inlineStr">
        <is>
          <t>shares_outstanding</t>
        </is>
      </c>
    </row>
    <row r="10">
      <c r="B10" s="16" t="inlineStr">
        <is>
          <t>Cost of capital</t>
        </is>
      </c>
      <c r="C10" s="39" t="n">
        <v>0.09</v>
      </c>
      <c r="D10" s="35" t="n"/>
      <c r="E10" s="35" t="inlineStr">
        <is>
          <t>cost_capital</t>
        </is>
      </c>
    </row>
    <row r="11">
      <c r="B11" s="16" t="inlineStr">
        <is>
          <t>Tax rate</t>
        </is>
      </c>
      <c r="C11" s="39" t="n">
        <v>0.21</v>
      </c>
      <c r="D11" s="35" t="n"/>
      <c r="E11" s="35" t="inlineStr">
        <is>
          <t>tax_rate</t>
        </is>
      </c>
    </row>
    <row r="12">
      <c r="B12" s="16" t="inlineStr">
        <is>
          <t>Market capitalization</t>
        </is>
      </c>
      <c r="C12" s="40">
        <f>share_price*shares_outstanding</f>
        <v/>
      </c>
      <c r="D12" s="35" t="inlineStr">
        <is>
          <t>share_price × shares_outstanding</t>
        </is>
      </c>
      <c r="E12" s="35" t="inlineStr">
        <is>
          <t>market_capitalization</t>
        </is>
      </c>
    </row>
    <row r="14">
      <c r="B14" s="41" t="inlineStr">
        <is>
          <t>── Start of Year (Prior-Year Balance Sheet) ──</t>
        </is>
      </c>
    </row>
    <row r="15">
      <c r="B15" s="16" t="inlineStr">
        <is>
          <t>Equity (start of year)</t>
        </is>
      </c>
      <c r="C15" s="42">
        <f>BAL_equity_shareholders_prior</f>
        <v/>
      </c>
      <c r="D15" s="35" t="inlineStr">
        <is>
          <t>BAL_equity_shareholders_prior</t>
        </is>
      </c>
      <c r="E15" s="35" t="inlineStr">
        <is>
          <t>startYear_equity</t>
        </is>
      </c>
    </row>
    <row r="16">
      <c r="B16" s="16" t="inlineStr">
        <is>
          <t>Inventories (start of year)</t>
        </is>
      </c>
      <c r="C16" s="42">
        <f>BAL_inventories_prior</f>
        <v/>
      </c>
      <c r="D16" s="35" t="inlineStr">
        <is>
          <t>BAL_inventories_prior</t>
        </is>
      </c>
      <c r="E16" s="35" t="inlineStr">
        <is>
          <t>startYear_inventory</t>
        </is>
      </c>
    </row>
    <row r="17">
      <c r="B17" s="16" t="inlineStr">
        <is>
          <t>Receivables (start of year)</t>
        </is>
      </c>
      <c r="C17" s="42">
        <f>BAL_receivables_prior</f>
        <v/>
      </c>
      <c r="D17" s="35" t="inlineStr">
        <is>
          <t>BAL_receivables_prior</t>
        </is>
      </c>
      <c r="E17" s="35" t="inlineStr">
        <is>
          <t>startYear_receivables</t>
        </is>
      </c>
    </row>
    <row r="18">
      <c r="B18" s="16" t="inlineStr">
        <is>
          <t>Total assets (start of year)</t>
        </is>
      </c>
      <c r="C18" s="42">
        <f>BAL_assets_total_prior</f>
        <v/>
      </c>
      <c r="D18" s="35" t="inlineStr">
        <is>
          <t>BAL_assets_total_prior</t>
        </is>
      </c>
      <c r="E18" s="35" t="inlineStr">
        <is>
          <t>startYear_total_assets</t>
        </is>
      </c>
    </row>
    <row r="19">
      <c r="B19" s="16" t="inlineStr">
        <is>
          <t>Total capitalization (start of year)</t>
        </is>
      </c>
      <c r="C19" s="42">
        <f>BAL_debt_long_term_prior+BAL_equity_shareholders_prior</f>
        <v/>
      </c>
      <c r="D19" s="35" t="inlineStr">
        <is>
          <t>BAL_debt_long_term_prior + BAL_equity_shareholders_prior</t>
        </is>
      </c>
      <c r="E19" s="35" t="inlineStr">
        <is>
          <t>startYear_total_capitalization</t>
        </is>
      </c>
    </row>
    <row r="21">
      <c r="B21" s="41" t="inlineStr">
        <is>
          <t>── Current Year (Derived) ──</t>
        </is>
      </c>
    </row>
    <row r="22">
      <c r="B22" s="16" t="inlineStr">
        <is>
          <t>After-tax operating income</t>
        </is>
      </c>
      <c r="C22" s="42">
        <f>INC_net+(1-tax_rate)*INC_interest_expense</f>
        <v/>
      </c>
      <c r="D22" s="35" t="inlineStr">
        <is>
          <t>INC_net + (1 − tax_rate) × INC_interest_expense</t>
        </is>
      </c>
      <c r="E22" s="35" t="inlineStr">
        <is>
          <t>currentYear_after_tax_operating_income</t>
        </is>
      </c>
    </row>
    <row r="23">
      <c r="B23" s="16" t="inlineStr">
        <is>
          <t>Average daily sales</t>
        </is>
      </c>
      <c r="C23" s="43">
        <f>IFERROR(INC_sales/365,"")</f>
        <v/>
      </c>
      <c r="D23" s="35" t="inlineStr">
        <is>
          <t>INC_sales / 365</t>
        </is>
      </c>
      <c r="E23" s="35" t="inlineStr">
        <is>
          <t>currentYear_daily_sales_average</t>
        </is>
      </c>
    </row>
    <row r="24">
      <c r="B24" s="16" t="inlineStr">
        <is>
          <t>Book value of equity</t>
        </is>
      </c>
      <c r="C24" s="42">
        <f>BAL_equity_shareholders_curr</f>
        <v/>
      </c>
      <c r="D24" s="35" t="inlineStr">
        <is>
          <t>BAL_equity_shareholders_curr</t>
        </is>
      </c>
      <c r="E24" s="35" t="inlineStr">
        <is>
          <t>currentYear_equity</t>
        </is>
      </c>
    </row>
    <row r="25">
      <c r="B25" s="16" t="inlineStr">
        <is>
          <t>Cash + Marketable securities</t>
        </is>
      </c>
      <c r="C25" s="42">
        <f>BAL_cash_marketable_securities_curr</f>
        <v/>
      </c>
      <c r="D25" s="35" t="inlineStr">
        <is>
          <t>BAL_cash_marketable_securities_curr</t>
        </is>
      </c>
      <c r="E25" s="35" t="inlineStr">
        <is>
          <t>currentYear_cash_marketable_securities</t>
        </is>
      </c>
    </row>
    <row r="26">
      <c r="B26" s="16" t="inlineStr">
        <is>
          <t>Current assets</t>
        </is>
      </c>
      <c r="C26" s="42">
        <f>BAL_assets_current_curr</f>
        <v/>
      </c>
      <c r="D26" s="35" t="inlineStr">
        <is>
          <t>BAL_assets_current_curr</t>
        </is>
      </c>
      <c r="E26" s="35" t="inlineStr">
        <is>
          <t>currentYear_assets_current</t>
        </is>
      </c>
    </row>
    <row r="27">
      <c r="B27" s="16" t="inlineStr">
        <is>
          <t>Current liabilities</t>
        </is>
      </c>
      <c r="C27" s="42">
        <f>BAL_liabilities_current_curr</f>
        <v/>
      </c>
      <c r="D27" s="35" t="inlineStr">
        <is>
          <t>BAL_liabilities_current_curr</t>
        </is>
      </c>
      <c r="E27" s="35" t="inlineStr">
        <is>
          <t>currentYear_liabilities_current</t>
        </is>
      </c>
    </row>
    <row r="28">
      <c r="B28" s="16" t="inlineStr">
        <is>
          <t>Daily COGS</t>
        </is>
      </c>
      <c r="C28" s="43">
        <f>IFERROR(INC_cost_goods_sold/365,"")</f>
        <v/>
      </c>
      <c r="D28" s="35" t="inlineStr">
        <is>
          <t>INC_cost_goods_sold / 365</t>
        </is>
      </c>
      <c r="E28" s="35" t="inlineStr">
        <is>
          <t>currentYear_cost_goods_sold_daily</t>
        </is>
      </c>
    </row>
    <row r="29">
      <c r="B29" s="16" t="inlineStr">
        <is>
          <t>Long-term debt</t>
        </is>
      </c>
      <c r="C29" s="42">
        <f>BAL_debt_long_term_curr</f>
        <v/>
      </c>
      <c r="D29" s="35" t="inlineStr">
        <is>
          <t>BAL_debt_long_term_curr</t>
        </is>
      </c>
      <c r="E29" s="35" t="inlineStr">
        <is>
          <t>currentYear_debt_long_term</t>
        </is>
      </c>
    </row>
    <row r="30">
      <c r="B30" s="16" t="inlineStr">
        <is>
          <t>Net working capital</t>
        </is>
      </c>
      <c r="C30" s="42">
        <f>BAL_assets_current_curr-BAL_liabilities_current_curr</f>
        <v/>
      </c>
      <c r="D30" s="35" t="inlineStr">
        <is>
          <t>BAL_assets_current_curr − BAL_liabilities_current_curr</t>
        </is>
      </c>
      <c r="E30" s="35" t="inlineStr">
        <is>
          <t>currentYear_working_capital_net</t>
        </is>
      </c>
    </row>
    <row r="31">
      <c r="B31" s="16" t="inlineStr">
        <is>
          <t>Total assets</t>
        </is>
      </c>
      <c r="C31" s="42">
        <f>BAL_assets_total_curr</f>
        <v/>
      </c>
      <c r="D31" s="35" t="inlineStr">
        <is>
          <t>BAL_assets_total_curr</t>
        </is>
      </c>
      <c r="E31" s="35" t="inlineStr">
        <is>
          <t>currentYear_assets_total</t>
        </is>
      </c>
    </row>
    <row r="32">
      <c r="B32" s="16" t="inlineStr">
        <is>
          <t>Total capitalization</t>
        </is>
      </c>
      <c r="C32" s="42">
        <f>BAL_debt_long_term_curr+BAL_equity_shareholders_curr</f>
        <v/>
      </c>
      <c r="D32" s="35" t="inlineStr">
        <is>
          <t>currentYear_debt_long_term + currentYear_equity</t>
        </is>
      </c>
      <c r="E32" s="35" t="inlineStr">
        <is>
          <t>currentYear_total_capitalization</t>
        </is>
      </c>
    </row>
    <row r="33">
      <c r="B33" s="16" t="inlineStr">
        <is>
          <t>Total liabilities</t>
        </is>
      </c>
      <c r="C33" s="42">
        <f>BAL_liabilities_total_curr</f>
        <v/>
      </c>
      <c r="D33" s="35" t="inlineStr">
        <is>
          <t>BAL_liabilities_total_curr</t>
        </is>
      </c>
      <c r="E33" s="35" t="inlineStr">
        <is>
          <t>currentYear_liabilities_total</t>
        </is>
      </c>
    </row>
    <row r="35">
      <c r="B35" s="41" t="inlineStr">
        <is>
          <t>── Mixed Year (Averages) ──</t>
        </is>
      </c>
    </row>
    <row r="36">
      <c r="B36" s="16" t="inlineStr">
        <is>
          <t>Average equity</t>
        </is>
      </c>
      <c r="C36" s="43">
        <f>AVERAGE(startYear_equity,currentYear_equity)</f>
        <v/>
      </c>
      <c r="D36" s="35" t="inlineStr">
        <is>
          <t>AVERAGE(startYear_equity, currentYear_equity)</t>
        </is>
      </c>
      <c r="E36" s="35" t="inlineStr">
        <is>
          <t>avg_equity</t>
        </is>
      </c>
    </row>
    <row r="37">
      <c r="B37" s="16" t="inlineStr">
        <is>
          <t>Average total assets</t>
        </is>
      </c>
      <c r="C37" s="43">
        <f>AVERAGE(startYear_total_assets,currentYear_assets_total)</f>
        <v/>
      </c>
      <c r="D37" s="35" t="inlineStr">
        <is>
          <t>AVERAGE(startYear_total_assets, currentYear_assets_total)</t>
        </is>
      </c>
      <c r="E37" s="35" t="inlineStr">
        <is>
          <t>avg_total_assets</t>
        </is>
      </c>
    </row>
    <row r="38">
      <c r="B38" s="16" t="inlineStr">
        <is>
          <t>Average total capitalization</t>
        </is>
      </c>
      <c r="C38" s="43">
        <f>AVERAGE(startYear_total_capitalization,currentYear_total_capitalization)</f>
        <v/>
      </c>
      <c r="D38" s="35" t="inlineStr">
        <is>
          <t>AVERAGE(startYear_total_capitalization, currentYear_total_capitalization)</t>
        </is>
      </c>
      <c r="E38" s="35" t="inlineStr">
        <is>
          <t>avg_total_capitalization</t>
        </is>
      </c>
    </row>
    <row r="41">
      <c r="B41" s="28" t="inlineStr">
        <is>
          <t>Ratio</t>
        </is>
      </c>
      <c r="C41" s="28" t="inlineStr">
        <is>
          <t>Output</t>
        </is>
      </c>
      <c r="D41" s="28" t="inlineStr">
        <is>
          <t>Named Range Formula (reference)</t>
        </is>
      </c>
      <c r="E41" s="28" t="inlineStr">
        <is>
          <t>Named Range</t>
        </is>
      </c>
      <c r="F41" s="28" t="inlineStr">
        <is>
          <t>Check</t>
        </is>
      </c>
    </row>
    <row r="42">
      <c r="B42" s="9" t="inlineStr">
        <is>
          <t>Performance</t>
        </is>
      </c>
      <c r="C42" s="1" t="n"/>
      <c r="D42" s="1" t="n"/>
      <c r="E42" s="1" t="n"/>
      <c r="F42" s="1" t="n"/>
    </row>
    <row r="43">
      <c r="B43" s="16" t="inlineStr">
        <is>
          <t>Market value added (MVA)</t>
        </is>
      </c>
      <c r="C43" s="44" t="n"/>
      <c r="D43" s="35" t="inlineStr">
        <is>
          <t>market_capitalization − currentYear_equity</t>
        </is>
      </c>
      <c r="E43" s="35" t="inlineStr"/>
    </row>
    <row r="44">
      <c r="B44" s="16" t="inlineStr">
        <is>
          <t>Market-to-book ratio</t>
        </is>
      </c>
      <c r="C44" s="45" t="n"/>
      <c r="D44" s="35" t="inlineStr">
        <is>
          <t>market_capitalization / currentYear_equity</t>
        </is>
      </c>
      <c r="E44" s="35" t="inlineStr"/>
    </row>
    <row r="45">
      <c r="B45" s="16" t="inlineStr">
        <is>
          <t>Economic value added (EVA)</t>
        </is>
      </c>
      <c r="C45" s="44" t="n"/>
      <c r="D45" s="35" t="inlineStr">
        <is>
          <t>currentYear_after_tax_operating_income − (cost_capital × startYear_total_capitalization)</t>
        </is>
      </c>
      <c r="E45" s="35" t="inlineStr"/>
    </row>
    <row r="46">
      <c r="B46" s="9" t="inlineStr">
        <is>
          <t>Profitability</t>
        </is>
      </c>
      <c r="C46" s="1" t="n"/>
      <c r="D46" s="1" t="n"/>
      <c r="E46" s="1" t="n"/>
      <c r="F46" s="1" t="n"/>
    </row>
    <row r="47">
      <c r="B47" s="16" t="inlineStr">
        <is>
          <t>Return on assets (ROA)</t>
        </is>
      </c>
      <c r="C47" s="46" t="n"/>
      <c r="D47" s="35" t="inlineStr">
        <is>
          <t>currentYear_after_tax_operating_income / startYear_total_assets</t>
        </is>
      </c>
      <c r="E47" s="35" t="inlineStr"/>
    </row>
    <row r="48">
      <c r="B48" s="16" t="inlineStr">
        <is>
          <t>Return on capital (ROC)</t>
        </is>
      </c>
      <c r="C48" s="46" t="n"/>
      <c r="D48" s="35" t="inlineStr">
        <is>
          <t>currentYear_after_tax_operating_income / startYear_total_capitalization</t>
        </is>
      </c>
      <c r="E48" s="35" t="inlineStr"/>
    </row>
    <row r="49">
      <c r="B49" s="16" t="inlineStr">
        <is>
          <t>Return on equity (ROE)</t>
        </is>
      </c>
      <c r="C49" s="46" t="n"/>
      <c r="D49" s="35" t="inlineStr">
        <is>
          <t>INC_net / startYear_equity</t>
        </is>
      </c>
      <c r="E49" s="35" t="inlineStr"/>
    </row>
    <row r="50">
      <c r="B50" s="16" t="inlineStr">
        <is>
          <t>Return on assets (ROA) [avg]</t>
        </is>
      </c>
      <c r="C50" s="46" t="n"/>
      <c r="D50" s="35" t="inlineStr">
        <is>
          <t>currentYear_after_tax_operating_income / avg_total_assets</t>
        </is>
      </c>
      <c r="E50" s="35" t="inlineStr"/>
    </row>
    <row r="51">
      <c r="B51" s="16" t="inlineStr">
        <is>
          <t>Return on capital (ROC) [avg]</t>
        </is>
      </c>
      <c r="C51" s="46" t="n"/>
      <c r="D51" s="35" t="inlineStr">
        <is>
          <t>currentYear_after_tax_operating_income / avg_total_capitalization</t>
        </is>
      </c>
      <c r="E51" s="35" t="inlineStr"/>
    </row>
    <row r="52">
      <c r="B52" s="16" t="inlineStr">
        <is>
          <t>Return on equity (ROE) [avg]</t>
        </is>
      </c>
      <c r="C52" s="46" t="n"/>
      <c r="D52" s="35" t="inlineStr">
        <is>
          <t>INC_net / avg_equity</t>
        </is>
      </c>
      <c r="E52" s="35" t="inlineStr"/>
    </row>
    <row r="53">
      <c r="B53" s="9" t="inlineStr">
        <is>
          <t>Efficiency</t>
        </is>
      </c>
      <c r="C53" s="1" t="n"/>
      <c r="D53" s="1" t="n"/>
      <c r="E53" s="1" t="n"/>
      <c r="F53" s="1" t="n"/>
    </row>
    <row r="54">
      <c r="B54" s="16" t="inlineStr">
        <is>
          <t>Asset turnover</t>
        </is>
      </c>
      <c r="C54" s="45" t="n"/>
      <c r="D54" s="35" t="inlineStr">
        <is>
          <t>INC_sales / startYear_total_assets</t>
        </is>
      </c>
      <c r="E54" s="35" t="inlineStr">
        <is>
          <t>RATIO_asset_turnover</t>
        </is>
      </c>
    </row>
    <row r="55">
      <c r="B55" s="16" t="inlineStr">
        <is>
          <t>Receivables turnover</t>
        </is>
      </c>
      <c r="C55" s="45" t="n"/>
      <c r="D55" s="35" t="inlineStr">
        <is>
          <t>INC_sales / startYear_receivables</t>
        </is>
      </c>
      <c r="E55" s="35" t="inlineStr"/>
    </row>
    <row r="56">
      <c r="B56" s="16" t="inlineStr">
        <is>
          <t>Average collection period (days)</t>
        </is>
      </c>
      <c r="C56" s="47" t="n"/>
      <c r="D56" s="35" t="inlineStr">
        <is>
          <t>startYear_receivables / currentYear_daily_sales_average</t>
        </is>
      </c>
      <c r="E56" s="35" t="inlineStr"/>
    </row>
    <row r="57">
      <c r="B57" s="16" t="inlineStr">
        <is>
          <t>Inventory turnover</t>
        </is>
      </c>
      <c r="C57" s="45" t="n"/>
      <c r="D57" s="35" t="inlineStr">
        <is>
          <t>INC_cost_goods_sold / startYear_inventory</t>
        </is>
      </c>
      <c r="E57" s="35" t="inlineStr"/>
    </row>
    <row r="58">
      <c r="B58" s="16" t="inlineStr">
        <is>
          <t>Days in inventory</t>
        </is>
      </c>
      <c r="C58" s="47" t="n"/>
      <c r="D58" s="35" t="inlineStr">
        <is>
          <t>startYear_inventory / currentYear_cost_goods_sold_daily</t>
        </is>
      </c>
      <c r="E58" s="35" t="inlineStr"/>
    </row>
    <row r="59">
      <c r="B59" s="16" t="inlineStr">
        <is>
          <t>Profit margin</t>
        </is>
      </c>
      <c r="C59" s="46" t="n"/>
      <c r="D59" s="35" t="inlineStr">
        <is>
          <t>INC_net / INC_sales</t>
        </is>
      </c>
      <c r="E59" s="35" t="inlineStr"/>
    </row>
    <row r="60">
      <c r="B60" s="16" t="inlineStr">
        <is>
          <t>Operating profit margin</t>
        </is>
      </c>
      <c r="C60" s="46" t="n"/>
      <c r="D60" s="35" t="inlineStr">
        <is>
          <t>currentYear_after_tax_operating_income / INC_sales</t>
        </is>
      </c>
      <c r="E60" s="35" t="inlineStr">
        <is>
          <t>RATIO_operating_profit_margin</t>
        </is>
      </c>
    </row>
    <row r="61">
      <c r="B61" s="9" t="inlineStr">
        <is>
          <t>Leverage</t>
        </is>
      </c>
      <c r="C61" s="1" t="n"/>
      <c r="D61" s="1" t="n"/>
      <c r="E61" s="1" t="n"/>
      <c r="F61" s="1" t="n"/>
    </row>
    <row r="62">
      <c r="B62" s="16" t="inlineStr">
        <is>
          <t>Long-term debt ratio</t>
        </is>
      </c>
      <c r="C62" s="46" t="n"/>
      <c r="D62" s="35" t="inlineStr">
        <is>
          <t>currentYear_debt_long_term / (currentYear_debt_long_term + currentYear_equity)</t>
        </is>
      </c>
      <c r="E62" s="35" t="inlineStr"/>
    </row>
    <row r="63">
      <c r="B63" s="16" t="inlineStr">
        <is>
          <t>Long-term debt-equity ratio</t>
        </is>
      </c>
      <c r="C63" s="45" t="n"/>
      <c r="D63" s="35" t="inlineStr">
        <is>
          <t>currentYear_debt_long_term / currentYear_equity</t>
        </is>
      </c>
      <c r="E63" s="35" t="inlineStr"/>
    </row>
    <row r="64">
      <c r="B64" s="16" t="inlineStr">
        <is>
          <t>Total debt ratio</t>
        </is>
      </c>
      <c r="C64" s="46" t="n"/>
      <c r="D64" s="35" t="inlineStr">
        <is>
          <t>currentYear_liabilities_total / currentYear_assets_total</t>
        </is>
      </c>
      <c r="E64" s="35" t="inlineStr"/>
    </row>
    <row r="65">
      <c r="B65" s="16" t="inlineStr">
        <is>
          <t>Times interest earned</t>
        </is>
      </c>
      <c r="C65" s="45" t="n"/>
      <c r="D65" s="35" t="inlineStr">
        <is>
          <t>INC_ebit / INC_interest_expense</t>
        </is>
      </c>
      <c r="E65" s="35" t="inlineStr"/>
    </row>
    <row r="66">
      <c r="B66" s="16" t="inlineStr">
        <is>
          <t>Cash coverage ratio</t>
        </is>
      </c>
      <c r="C66" s="45" t="n"/>
      <c r="D66" s="35" t="inlineStr">
        <is>
          <t>(INC_ebit + INC_depreciation) / INC_interest_expense</t>
        </is>
      </c>
      <c r="E66" s="35" t="inlineStr"/>
    </row>
    <row r="67">
      <c r="B67" s="16" t="inlineStr">
        <is>
          <t>Debt burden</t>
        </is>
      </c>
      <c r="C67" s="48" t="n"/>
      <c r="D67" s="35" t="inlineStr">
        <is>
          <t>INC_net / currentYear_after_tax_operating_income</t>
        </is>
      </c>
      <c r="E67" s="35" t="inlineStr">
        <is>
          <t>RATIO_debt_burden</t>
        </is>
      </c>
    </row>
    <row r="68">
      <c r="B68" s="16" t="inlineStr">
        <is>
          <t>Leverage ratio</t>
        </is>
      </c>
      <c r="C68" s="45" t="n"/>
      <c r="D68" s="35" t="inlineStr">
        <is>
          <t>currentYear_assets_total / currentYear_equity</t>
        </is>
      </c>
      <c r="E68" s="35" t="inlineStr">
        <is>
          <t>RATIO_leverage</t>
        </is>
      </c>
    </row>
    <row r="69">
      <c r="B69" s="9" t="inlineStr">
        <is>
          <t>Liquidity</t>
        </is>
      </c>
      <c r="C69" s="1" t="n"/>
      <c r="D69" s="1" t="n"/>
      <c r="E69" s="1" t="n"/>
      <c r="F69" s="1" t="n"/>
    </row>
    <row r="70">
      <c r="B70" s="16" t="inlineStr">
        <is>
          <t>Net working capital to assets</t>
        </is>
      </c>
      <c r="C70" s="46" t="n"/>
      <c r="D70" s="35" t="inlineStr">
        <is>
          <t>currentYear_working_capital_net / currentYear_assets_total</t>
        </is>
      </c>
      <c r="E70" s="35" t="inlineStr"/>
    </row>
    <row r="71">
      <c r="B71" s="16" t="inlineStr">
        <is>
          <t>Current ratio</t>
        </is>
      </c>
      <c r="C71" s="45" t="n"/>
      <c r="D71" s="35" t="inlineStr">
        <is>
          <t>currentYear_assets_current / currentYear_liabilities_current</t>
        </is>
      </c>
      <c r="E71" s="35" t="inlineStr"/>
    </row>
    <row r="72">
      <c r="B72" s="16" t="inlineStr">
        <is>
          <t>Quick ratio</t>
        </is>
      </c>
      <c r="C72" s="45" t="n"/>
      <c r="D72" s="35" t="inlineStr">
        <is>
          <t>(currentYear_cash_marketable_securities + BAL_receivables_curr) / currentYear_liabilities_current</t>
        </is>
      </c>
      <c r="E72" s="35" t="inlineStr"/>
    </row>
    <row r="73">
      <c r="B73" s="16" t="inlineStr">
        <is>
          <t>Cash ratio</t>
        </is>
      </c>
      <c r="C73" s="45" t="n"/>
      <c r="D73" s="35" t="inlineStr">
        <is>
          <t>currentYear_cash_marketable_securities / currentYear_liabilities_current</t>
        </is>
      </c>
      <c r="E73" s="35" t="inlineStr"/>
    </row>
    <row r="74">
      <c r="B74" s="9" t="inlineStr">
        <is>
          <t>Du Pont System</t>
        </is>
      </c>
      <c r="C74" s="1" t="n"/>
      <c r="D74" s="1" t="n"/>
      <c r="E74" s="1" t="n"/>
      <c r="F74" s="1" t="n"/>
    </row>
    <row r="75">
      <c r="B75" s="16" t="inlineStr">
        <is>
          <t>Return on assets (Du Pont)</t>
        </is>
      </c>
      <c r="C75" s="46" t="n"/>
      <c r="D75" s="35" t="inlineStr">
        <is>
          <t>RATIO_asset_turnover × RATIO_operating_profit_margin</t>
        </is>
      </c>
      <c r="E75" s="35" t="inlineStr"/>
      <c r="F75" s="49">
        <f>IF(OR(C75="",C47=""),"",IF(ROUND(C75,6)=ROUND(C47,6),"✓ matches direct ROA","✗ differs by "&amp;TEXT(ABS(C75-C47),"0.00%")))</f>
        <v/>
      </c>
    </row>
    <row r="76">
      <c r="B76" s="16" t="inlineStr">
        <is>
          <t>Return on equity (Du Pont)</t>
        </is>
      </c>
      <c r="C76" s="46" t="n"/>
      <c r="D76" s="35" t="inlineStr">
        <is>
          <t>RATIO_leverage × RATIO_asset_turnover × RATIO_operating_profit_margin × RATIO_debt_burden</t>
        </is>
      </c>
      <c r="E76" s="35" t="inlineStr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2">
      <c r="B2" s="19" t="inlineStr">
        <is>
          <t>Notes &amp; Assumptions</t>
        </is>
      </c>
    </row>
    <row r="4">
      <c r="B4" s="50" t="inlineStr">
        <is>
          <t>Company</t>
        </is>
      </c>
      <c r="C4" s="8" t="inlineStr">
        <is>
          <t>[Your Company Name]</t>
        </is>
      </c>
    </row>
    <row r="5">
      <c r="B5" s="50" t="inlineStr">
        <is>
          <t>Ticker</t>
        </is>
      </c>
      <c r="C5" s="8" t="inlineStr">
        <is>
          <t>[TICKER]</t>
        </is>
      </c>
    </row>
    <row r="6">
      <c r="B6" s="50" t="inlineStr">
        <is>
          <t>Industry</t>
        </is>
      </c>
      <c r="C6" s="8" t="inlineStr">
        <is>
          <t>[Industry]</t>
        </is>
      </c>
    </row>
    <row r="7">
      <c r="B7" s="50" t="inlineStr">
        <is>
          <t>Fiscal Year (current)</t>
        </is>
      </c>
      <c r="C7" s="8" t="inlineStr">
        <is>
          <t>[FYYYYY]</t>
        </is>
      </c>
    </row>
    <row r="8">
      <c r="B8" s="50" t="inlineStr">
        <is>
          <t>Fiscal Year (prior)</t>
        </is>
      </c>
      <c r="C8" s="8" t="inlineStr">
        <is>
          <t>[FYYYYY]</t>
        </is>
      </c>
    </row>
    <row r="9">
      <c r="B9" s="50" t="inlineStr">
        <is>
          <t>Data Source</t>
        </is>
      </c>
      <c r="C9" s="8" t="inlineStr">
        <is>
          <t>[SEC EDGAR 10-K URL / Yahoo Finance / etc.]</t>
        </is>
      </c>
    </row>
    <row r="10">
      <c r="B10" s="50" t="inlineStr">
        <is>
          <t>Units</t>
        </is>
      </c>
      <c r="C10" s="8" t="inlineStr">
        <is>
          <t>All figures in $millions unless otherwise noted</t>
        </is>
      </c>
    </row>
    <row r="11">
      <c r="B11" s="50" t="inlineStr">
        <is>
          <t>Tax Rate</t>
        </is>
      </c>
      <c r="C11" s="8" t="inlineStr">
        <is>
          <t>[Statutory 21% / Effective rate from financials — and why]</t>
        </is>
      </c>
    </row>
    <row r="12">
      <c r="B12" s="50" t="inlineStr">
        <is>
          <t>Cost of Capital</t>
        </is>
      </c>
      <c r="C12" s="8" t="inlineStr">
        <is>
          <t>[X.X% — source/method, e.g., CAPM, class working WACC]</t>
        </is>
      </c>
    </row>
    <row r="13">
      <c r="B13" s="50" t="inlineStr">
        <is>
          <t>Share Price</t>
        </is>
      </c>
      <c r="C13" s="8" t="inlineStr">
        <is>
          <t>[FY-end closing price]</t>
        </is>
      </c>
    </row>
    <row r="14">
      <c r="B14" s="50" t="inlineStr">
        <is>
          <t>Shares Outstanding</t>
        </is>
      </c>
      <c r="C14" s="8" t="inlineStr">
        <is>
          <t>[M shares — diluted weighted avg]</t>
        </is>
      </c>
    </row>
    <row r="16">
      <c r="B16" s="50" t="inlineStr">
        <is>
          <t>BUS-314 Project Use</t>
        </is>
      </c>
      <c r="C16" s="8" t="inlineStr">
        <is>
          <t>Template for the Accounting &amp; Performance Ratios project</t>
        </is>
      </c>
    </row>
    <row r="17">
      <c r="B17" s="50" t="inlineStr">
        <is>
          <t>Stage 2 Task</t>
        </is>
      </c>
      <c r="C17" s="8" t="inlineStr">
        <is>
          <t>Populate Balance Sheet, Income Statement, and Cash Flow with your selected company's figures; enter the four assumptions on the Ratios tab; then compute all ratios in column C using the named-range formulas shown in column D.</t>
        </is>
      </c>
    </row>
    <row r="18">
      <c r="B18" s="50" t="inlineStr">
        <is>
          <t>Stage 3 Task</t>
        </is>
      </c>
      <c r="C18" s="8" t="inlineStr">
        <is>
          <t>Document the model using example-spec-template.md</t>
        </is>
      </c>
    </row>
    <row r="19">
      <c r="B19" s="50" t="inlineStr">
        <is>
          <t>Stage 4 Task</t>
        </is>
      </c>
      <c r="C19" s="8" t="inlineStr">
        <is>
          <t>Interpret ratios and write CFO recommendation memo</t>
        </is>
      </c>
    </row>
    <row r="20">
      <c r="B20" s="50" t="inlineStr">
        <is>
          <t>AI Usage</t>
        </is>
      </c>
      <c r="C20" s="8" t="inlineStr">
        <is>
          <t>[Document any AI tools used and how they were applied]</t>
        </is>
      </c>
    </row>
    <row r="22">
      <c r="B22" s="50" t="inlineStr">
        <is>
          <t>Self-checks</t>
        </is>
      </c>
      <c r="C22" s="8" t="inlineStr">
        <is>
          <t>Cross-checks built into the Ratios sheet to verify your work.</t>
        </is>
      </c>
    </row>
    <row r="23">
      <c r="B23" s="50" t="inlineStr">
        <is>
          <t>Du Pont ROA</t>
        </is>
      </c>
      <c r="C23" s="8" t="inlineStr">
        <is>
          <t>Du Pont ROA (Ratios!C75) is mathematically identical to direct ROA (Ratios!C47). The inline check on Ratios!F75 confirms the match — investigate any discrepancy before submitting.</t>
        </is>
      </c>
    </row>
    <row r="24">
      <c r="B24" s="50" t="inlineStr">
        <is>
          <t>Du Pont ROE</t>
        </is>
      </c>
      <c r="C24" s="8" t="inlineStr">
        <is>
          <t>Du Pont ROE (Ratios!C76) will not exactly equal direct ROE (Ratios!C49) in this model: the leverage component uses current-year balances while asset turnover uses prior-year assets. Explain this time-mismatch in your Stage 4 memo.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2026-05-08T17:56:00Z</dcterms:created>
  <dcterms:modified xmlns:dcterms="http://purl.org/dc/terms/" xmlns:xsi="http://www.w3.org/2001/XMLSchema-instance" xsi:type="dcterms:W3CDTF">2026-05-08T17:56:00Z</dcterms:modified>
</cp:coreProperties>
</file>