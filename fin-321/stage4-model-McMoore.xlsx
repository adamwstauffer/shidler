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Notes" sheetId="2" state="visible" r:id="rId2"/>
  </sheets>
  <definedNames>
    <definedName name="FC_AMT">'Main'!$B2</definedName>
    <definedName name="S0_in">'Main'!$B3</definedName>
    <definedName name="F0_in">'Main'!$B4</definedName>
    <definedName name="R_USD">'Main'!$B5</definedName>
    <definedName name="R_FC">'Main'!$B6</definedName>
    <definedName name="K_PUT">'Main'!$B7</definedName>
    <definedName name="K_CALL">'Main'!$B8</definedName>
    <definedName name="PREM_PUT">'Main'!$B9</definedName>
    <definedName name="PREM_CALL">'Main'!$B10</definedName>
    <definedName name="T_YRS">'Main'!$B11</definedName>
    <definedName name="T_DAYS">'Main'!$B12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B7D7FF"/>
        <bgColor rgb="00B7D7FF"/>
      </patternFill>
    </fill>
    <fill>
      <patternFill patternType="solid">
        <fgColor rgb="00C6E2C6"/>
        <bgColor rgb="00C6E2C6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1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3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Hedge Outcomes vs S_T</a:t>
            </a:r>
          </a:p>
        </rich>
      </tx>
    </title>
    <plotArea>
      <lineChart>
        <grouping val="standard"/>
        <ser>
          <idx val="0"/>
          <order val="0"/>
          <tx>
            <strRef>
              <f>'Main'!B34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'Main'!$A$34:$A$44</f>
            </numRef>
          </cat>
          <val>
            <numRef>
              <f>'Main'!$B$35:$B$44</f>
            </numRef>
          </val>
        </ser>
        <ser>
          <idx val="1"/>
          <order val="1"/>
          <tx>
            <strRef>
              <f>'Main'!C34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'Main'!$A$34:$A$44</f>
            </numRef>
          </cat>
          <val>
            <numRef>
              <f>'Main'!$C$35:$C$44</f>
            </numRef>
          </val>
        </ser>
        <ser>
          <idx val="2"/>
          <order val="2"/>
          <tx>
            <strRef>
              <f>'Main'!D34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'Main'!$A$34:$A$44</f>
            </numRef>
          </cat>
          <val>
            <numRef>
              <f>'Main'!$D$35:$D$44</f>
            </numRef>
          </val>
        </ser>
        <ser>
          <idx val="3"/>
          <order val="3"/>
          <tx>
            <strRef>
              <f>'Main'!E34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'Main'!$A$34:$A$44</f>
            </numRef>
          </cat>
          <val>
            <numRef>
              <f>'Main'!$E$35:$E$44</f>
            </numRef>
          </val>
        </ser>
        <ser>
          <idx val="4"/>
          <order val="4"/>
          <tx>
            <strRef>
              <f>'Main'!F34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'Main'!$A$34:$A$44</f>
            </numRef>
          </cat>
          <val>
            <numRef>
              <f>'Main'!$F$35:$F$44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S_T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Proceeds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Units</t>
        </is>
      </c>
      <c r="D1" s="1" t="inlineStr">
        <is>
          <t>Notes</t>
        </is>
      </c>
    </row>
    <row r="2">
      <c r="A2" s="2" t="inlineStr">
        <is>
          <t>FC_AMT</t>
        </is>
      </c>
      <c r="B2" s="3" t="n">
        <v>12500000</v>
      </c>
      <c r="C2" s="4" t="inlineStr">
        <is>
          <t>EUR</t>
        </is>
      </c>
      <c r="D2" s="2" t="inlineStr">
        <is>
          <t>Receivable</t>
        </is>
      </c>
    </row>
    <row r="3">
      <c r="A3" s="2" t="inlineStr">
        <is>
          <t>S0_in</t>
        </is>
      </c>
      <c r="B3" s="3" t="n">
        <v>1.09</v>
      </c>
      <c r="C3" s="4" t="inlineStr">
        <is>
          <t>USD/EUR</t>
        </is>
      </c>
      <c r="D3" s="2" t="inlineStr">
        <is>
          <t>Spot rate</t>
        </is>
      </c>
    </row>
    <row r="4">
      <c r="A4" s="2" t="inlineStr">
        <is>
          <t>F0_in</t>
        </is>
      </c>
      <c r="B4" s="3" t="n">
        <v>1.091</v>
      </c>
      <c r="C4" s="4" t="inlineStr">
        <is>
          <t>USD/EUR</t>
        </is>
      </c>
      <c r="D4" s="2" t="inlineStr">
        <is>
          <t>1-year forward</t>
        </is>
      </c>
    </row>
    <row r="5">
      <c r="A5" s="2" t="inlineStr">
        <is>
          <t>R_USD</t>
        </is>
      </c>
      <c r="B5" s="3" t="n">
        <v>0.05</v>
      </c>
      <c r="C5" s="4" t="inlineStr">
        <is>
          <t>%</t>
        </is>
      </c>
      <c r="D5" s="2" t="inlineStr">
        <is>
          <t>USD 1-year rate</t>
        </is>
      </c>
    </row>
    <row r="6">
      <c r="A6" s="2" t="inlineStr">
        <is>
          <t>R_FC</t>
        </is>
      </c>
      <c r="B6" s="3" t="n">
        <v>0.03</v>
      </c>
      <c r="C6" s="4" t="inlineStr">
        <is>
          <t>%</t>
        </is>
      </c>
      <c r="D6" s="2" t="inlineStr">
        <is>
          <t>EUR 1-year rate</t>
        </is>
      </c>
    </row>
    <row r="7">
      <c r="A7" s="2" t="inlineStr">
        <is>
          <t>K_PUT</t>
        </is>
      </c>
      <c r="B7" s="3" t="n">
        <v>1.09</v>
      </c>
      <c r="C7" s="4" t="inlineStr">
        <is>
          <t>USD/EUR</t>
        </is>
      </c>
      <c r="D7" s="2" t="inlineStr">
        <is>
          <t>Put strike</t>
        </is>
      </c>
    </row>
    <row r="8">
      <c r="A8" s="2" t="inlineStr">
        <is>
          <t>K_CALL</t>
        </is>
      </c>
      <c r="B8" s="3" t="n">
        <v>1.09</v>
      </c>
      <c r="C8" s="4" t="inlineStr">
        <is>
          <t>USD/EUR</t>
        </is>
      </c>
      <c r="D8" s="2" t="inlineStr">
        <is>
          <t>Call strike</t>
        </is>
      </c>
    </row>
    <row r="9">
      <c r="A9" s="2" t="inlineStr">
        <is>
          <t>PREM_PUT</t>
        </is>
      </c>
      <c r="B9" s="3" t="n">
        <v>0.017</v>
      </c>
      <c r="C9" s="4" t="inlineStr">
        <is>
          <t>USD per EUR</t>
        </is>
      </c>
      <c r="D9" s="2" t="inlineStr">
        <is>
          <t>Put premium</t>
        </is>
      </c>
    </row>
    <row r="10">
      <c r="A10" s="2" t="inlineStr">
        <is>
          <t>PREM_CALL</t>
        </is>
      </c>
      <c r="B10" s="3" t="n">
        <v>0.022</v>
      </c>
      <c r="C10" s="4" t="inlineStr">
        <is>
          <t>USD per EUR</t>
        </is>
      </c>
      <c r="D10" s="2" t="inlineStr">
        <is>
          <t>Call premium</t>
        </is>
      </c>
    </row>
    <row r="11">
      <c r="A11" s="2" t="inlineStr">
        <is>
          <t>T_YRS</t>
        </is>
      </c>
      <c r="B11" s="3" t="n">
        <v>1</v>
      </c>
      <c r="C11" s="4" t="inlineStr">
        <is>
          <t>years</t>
        </is>
      </c>
      <c r="D11" s="2" t="inlineStr">
        <is>
          <t>Time to maturity</t>
        </is>
      </c>
    </row>
    <row r="12">
      <c r="A12" s="2" t="inlineStr">
        <is>
          <t>T_DAYS</t>
        </is>
      </c>
      <c r="B12" s="3" t="n">
        <v>365</v>
      </c>
      <c r="C12" s="4" t="inlineStr">
        <is>
          <t>days</t>
        </is>
      </c>
      <c r="D12" s="2" t="inlineStr">
        <is>
          <t>Time in days</t>
        </is>
      </c>
    </row>
    <row r="15">
      <c r="A15" s="5" t="inlineStr">
        <is>
          <t>SECTION 2 — Forward Hedge</t>
        </is>
      </c>
    </row>
    <row r="16">
      <c r="A16" s="2" t="inlineStr">
        <is>
          <t>Forward Rate (F0_in)</t>
        </is>
      </c>
      <c r="B16" s="6">
        <f>F0_in</f>
        <v/>
      </c>
    </row>
    <row r="17">
      <c r="A17" s="2" t="inlineStr">
        <is>
          <t>USD Proceeds</t>
        </is>
      </c>
      <c r="B17" s="7">
        <f>FC_AMT*F0_in</f>
        <v/>
      </c>
    </row>
    <row r="20">
      <c r="A20" s="5" t="inlineStr">
        <is>
          <t>SECTION 3 — Money Market Hedge</t>
        </is>
      </c>
    </row>
    <row r="21">
      <c r="A21" s="2" t="inlineStr">
        <is>
          <t>Step 1: Discount EUR receivable</t>
        </is>
      </c>
      <c r="B21" s="8">
        <f>FC_AMT/(1+R_FC)</f>
        <v/>
      </c>
    </row>
    <row r="22">
      <c r="A22" s="2" t="inlineStr">
        <is>
          <t>Step 2: Convert to USD today</t>
        </is>
      </c>
      <c r="B22" s="8">
        <f>B21*S0_in</f>
        <v/>
      </c>
    </row>
    <row r="23">
      <c r="A23" s="2" t="inlineStr">
        <is>
          <t>Step 3: Invest/borrow USD at R_USD</t>
        </is>
      </c>
      <c r="B23" s="8">
        <f>B22*(1+R_USD)</f>
        <v/>
      </c>
    </row>
    <row r="24">
      <c r="A24" s="2" t="inlineStr">
        <is>
          <t>USD Proceeds (MM Hedge)</t>
        </is>
      </c>
      <c r="B24" s="9">
        <f>B23</f>
        <v/>
      </c>
    </row>
    <row r="27">
      <c r="A27" s="5" t="inlineStr">
        <is>
          <t>SECTION 4 — Option Hedges</t>
        </is>
      </c>
    </row>
    <row r="28">
      <c r="A28" s="2" t="inlineStr">
        <is>
          <t>Put Premium Cost</t>
        </is>
      </c>
      <c r="B28" s="9">
        <f>FC_AMT*PREM_PUT</f>
        <v/>
      </c>
    </row>
    <row r="29">
      <c r="A29" s="2" t="inlineStr">
        <is>
          <t>Call Premium Cost</t>
        </is>
      </c>
      <c r="B29" s="9">
        <f>FC_AMT*PREM_CALL</f>
        <v/>
      </c>
    </row>
    <row r="33">
      <c r="A33" s="10" t="inlineStr">
        <is>
          <t>S_T (spot at maturity)</t>
        </is>
      </c>
      <c r="B33" s="10" t="inlineStr">
        <is>
          <t>Unhedged USD</t>
        </is>
      </c>
      <c r="C33" s="10" t="inlineStr">
        <is>
          <t>Forward USD</t>
        </is>
      </c>
      <c r="D33" s="10" t="inlineStr">
        <is>
          <t>Money Market USD</t>
        </is>
      </c>
      <c r="E33" s="10" t="inlineStr">
        <is>
          <t>Put Hedge USD</t>
        </is>
      </c>
      <c r="F33" s="10" t="inlineStr">
        <is>
          <t>Call Hedge USD</t>
        </is>
      </c>
    </row>
    <row r="34">
      <c r="A34" s="2">
        <f>S0_in*0.95</f>
        <v/>
      </c>
      <c r="B34" s="2">
        <f>FC_AMT*A34</f>
        <v/>
      </c>
      <c r="C34" s="2">
        <f>FC_AMT*F0_in</f>
        <v/>
      </c>
      <c r="D34" s="2">
        <f>B24</f>
        <v/>
      </c>
      <c r="E34" s="2">
        <f>IF(A34&lt;K_PUT, FC_AMT*K_PUT - FC_AMT*PREM_PUT, FC_AMT*A34 - FC_AMT*PREM_PUT)</f>
        <v/>
      </c>
      <c r="F34" s="2">
        <f>IF(A34&gt;K_CALL, FC_AMT*K_CALL - FC_AMT*PREM_CALL, FC_AMT*A34 - FC_AMT*PREM_CALL)</f>
        <v/>
      </c>
    </row>
    <row r="35">
      <c r="A35" s="2">
        <f>A34+S0_in*0.01</f>
        <v/>
      </c>
      <c r="B35" s="2">
        <f>FC_AMT*A35</f>
        <v/>
      </c>
      <c r="C35" s="2">
        <f>FC_AMT*F0_in</f>
        <v/>
      </c>
      <c r="D35" s="2">
        <f>B24</f>
        <v/>
      </c>
      <c r="E35" s="2">
        <f>IF(A35&lt;K_PUT, FC_AMT*K_PUT - FC_AMT*PREM_PUT, FC_AMT*A35 - FC_AMT*PREM_PUT)</f>
        <v/>
      </c>
      <c r="F35" s="2">
        <f>IF(A35&gt;K_CALL, FC_AMT*K_CALL - FC_AMT*PREM_CALL, FC_AMT*A35 - FC_AMT*PREM_CALL)</f>
        <v/>
      </c>
    </row>
    <row r="36">
      <c r="A36" s="2">
        <f>A35+S0_in*0.01</f>
        <v/>
      </c>
      <c r="B36" s="2">
        <f>FC_AMT*A36</f>
        <v/>
      </c>
      <c r="C36" s="2">
        <f>FC_AMT*F0_in</f>
        <v/>
      </c>
      <c r="D36" s="2">
        <f>B24</f>
        <v/>
      </c>
      <c r="E36" s="2">
        <f>IF(A36&lt;K_PUT, FC_AMT*K_PUT - FC_AMT*PREM_PUT, FC_AMT*A36 - FC_AMT*PREM_PUT)</f>
        <v/>
      </c>
      <c r="F36" s="2">
        <f>IF(A36&gt;K_CALL, FC_AMT*K_CALL - FC_AMT*PREM_CALL, FC_AMT*A36 - FC_AMT*PREM_CALL)</f>
        <v/>
      </c>
    </row>
    <row r="37">
      <c r="A37" s="2">
        <f>A36+S0_in*0.01</f>
        <v/>
      </c>
      <c r="B37" s="2">
        <f>FC_AMT*A37</f>
        <v/>
      </c>
      <c r="C37" s="2">
        <f>FC_AMT*F0_in</f>
        <v/>
      </c>
      <c r="D37" s="2">
        <f>B24</f>
        <v/>
      </c>
      <c r="E37" s="2">
        <f>IF(A37&lt;K_PUT, FC_AMT*K_PUT - FC_AMT*PREM_PUT, FC_AMT*A37 - FC_AMT*PREM_PUT)</f>
        <v/>
      </c>
      <c r="F37" s="2">
        <f>IF(A37&gt;K_CALL, FC_AMT*K_CALL - FC_AMT*PREM_CALL, FC_AMT*A37 - FC_AMT*PREM_CALL)</f>
        <v/>
      </c>
    </row>
    <row r="38">
      <c r="A38" s="2">
        <f>A37+S0_in*0.01</f>
        <v/>
      </c>
      <c r="B38" s="2">
        <f>FC_AMT*A38</f>
        <v/>
      </c>
      <c r="C38" s="2">
        <f>FC_AMT*F0_in</f>
        <v/>
      </c>
      <c r="D38" s="2">
        <f>B24</f>
        <v/>
      </c>
      <c r="E38" s="2">
        <f>IF(A38&lt;K_PUT, FC_AMT*K_PUT - FC_AMT*PREM_PUT, FC_AMT*A38 - FC_AMT*PREM_PUT)</f>
        <v/>
      </c>
      <c r="F38" s="2">
        <f>IF(A38&gt;K_CALL, FC_AMT*K_CALL - FC_AMT*PREM_CALL, FC_AMT*A38 - FC_AMT*PREM_CALL)</f>
        <v/>
      </c>
    </row>
    <row r="39">
      <c r="A39" s="2">
        <f>A38+S0_in*0.01</f>
        <v/>
      </c>
      <c r="B39" s="2">
        <f>FC_AMT*A39</f>
        <v/>
      </c>
      <c r="C39" s="2">
        <f>FC_AMT*F0_in</f>
        <v/>
      </c>
      <c r="D39" s="2">
        <f>B24</f>
        <v/>
      </c>
      <c r="E39" s="2">
        <f>IF(A39&lt;K_PUT, FC_AMT*K_PUT - FC_AMT*PREM_PUT, FC_AMT*A39 - FC_AMT*PREM_PUT)</f>
        <v/>
      </c>
      <c r="F39" s="2">
        <f>IF(A39&gt;K_CALL, FC_AMT*K_CALL - FC_AMT*PREM_CALL, FC_AMT*A39 - FC_AMT*PREM_CALL)</f>
        <v/>
      </c>
    </row>
    <row r="40">
      <c r="A40" s="2">
        <f>A39+S0_in*0.01</f>
        <v/>
      </c>
      <c r="B40" s="2">
        <f>FC_AMT*A40</f>
        <v/>
      </c>
      <c r="C40" s="2">
        <f>FC_AMT*F0_in</f>
        <v/>
      </c>
      <c r="D40" s="2">
        <f>B24</f>
        <v/>
      </c>
      <c r="E40" s="2">
        <f>IF(A40&lt;K_PUT, FC_AMT*K_PUT - FC_AMT*PREM_PUT, FC_AMT*A40 - FC_AMT*PREM_PUT)</f>
        <v/>
      </c>
      <c r="F40" s="2">
        <f>IF(A40&gt;K_CALL, FC_AMT*K_CALL - FC_AMT*PREM_CALL, FC_AMT*A40 - FC_AMT*PREM_CALL)</f>
        <v/>
      </c>
    </row>
    <row r="41">
      <c r="A41" s="2">
        <f>A40+S0_in*0.01</f>
        <v/>
      </c>
      <c r="B41" s="2">
        <f>FC_AMT*A41</f>
        <v/>
      </c>
      <c r="C41" s="2">
        <f>FC_AMT*F0_in</f>
        <v/>
      </c>
      <c r="D41" s="2">
        <f>B24</f>
        <v/>
      </c>
      <c r="E41" s="2">
        <f>IF(A41&lt;K_PUT, FC_AMT*K_PUT - FC_AMT*PREM_PUT, FC_AMT*A41 - FC_AMT*PREM_PUT)</f>
        <v/>
      </c>
      <c r="F41" s="2">
        <f>IF(A41&gt;K_CALL, FC_AMT*K_CALL - FC_AMT*PREM_CALL, FC_AMT*A41 - FC_AMT*PREM_CALL)</f>
        <v/>
      </c>
    </row>
    <row r="42">
      <c r="A42" s="2">
        <f>A41+S0_in*0.01</f>
        <v/>
      </c>
      <c r="B42" s="2">
        <f>FC_AMT*A42</f>
        <v/>
      </c>
      <c r="C42" s="2">
        <f>FC_AMT*F0_in</f>
        <v/>
      </c>
      <c r="D42" s="2">
        <f>B24</f>
        <v/>
      </c>
      <c r="E42" s="2">
        <f>IF(A42&lt;K_PUT, FC_AMT*K_PUT - FC_AMT*PREM_PUT, FC_AMT*A42 - FC_AMT*PREM_PUT)</f>
        <v/>
      </c>
      <c r="F42" s="2">
        <f>IF(A42&gt;K_CALL, FC_AMT*K_CALL - FC_AMT*PREM_CALL, FC_AMT*A42 - FC_AMT*PREM_CALL)</f>
        <v/>
      </c>
    </row>
    <row r="43">
      <c r="A43" s="2">
        <f>A42+S0_in*0.01</f>
        <v/>
      </c>
      <c r="B43" s="2">
        <f>FC_AMT*A43</f>
        <v/>
      </c>
      <c r="C43" s="2">
        <f>FC_AMT*F0_in</f>
        <v/>
      </c>
      <c r="D43" s="2">
        <f>B24</f>
        <v/>
      </c>
      <c r="E43" s="2">
        <f>IF(A43&lt;K_PUT, FC_AMT*K_PUT - FC_AMT*PREM_PUT, FC_AMT*A43 - FC_AMT*PREM_PUT)</f>
        <v/>
      </c>
      <c r="F43" s="2">
        <f>IF(A43&gt;K_CALL, FC_AMT*K_CALL - FC_AMT*PREM_CALL, FC_AMT*A43 - FC_AMT*PREM_CALL)</f>
        <v/>
      </c>
    </row>
    <row r="44">
      <c r="A44" s="2">
        <f>A43+S0_in*0.01</f>
        <v/>
      </c>
      <c r="B44" s="2">
        <f>FC_AMT*A44</f>
        <v/>
      </c>
      <c r="C44" s="2">
        <f>FC_AMT*F0_in</f>
        <v/>
      </c>
      <c r="D44" s="2">
        <f>B24</f>
        <v/>
      </c>
      <c r="E44" s="2">
        <f>IF(A44&lt;K_PUT, FC_AMT*K_PUT - FC_AMT*PREM_PUT, FC_AMT*A44 - FC_AMT*PREM_PUT)</f>
        <v/>
      </c>
      <c r="F44" s="2">
        <f>IF(A44&gt;K_CALL, FC_AMT*K_CALL - FC_AMT*PREM_CALL, FC_AMT*A44 - FC_AMT*PREM_CALL)</f>
        <v/>
      </c>
    </row>
    <row r="47">
      <c r="A47" s="5" t="inlineStr">
        <is>
          <t>SECTION 7 — Output Summary</t>
        </is>
      </c>
    </row>
    <row r="48">
      <c r="A48" s="2" t="inlineStr">
        <is>
          <t>Forward Hedge USD</t>
        </is>
      </c>
      <c r="B48" s="9">
        <f>FC_AMT*F0_in</f>
        <v/>
      </c>
    </row>
    <row r="49">
      <c r="A49" s="2" t="inlineStr">
        <is>
          <t>MM Hedge USD</t>
        </is>
      </c>
      <c r="B49" s="9">
        <f>B24</f>
        <v/>
      </c>
    </row>
    <row r="50">
      <c r="A50" s="2" t="inlineStr">
        <is>
          <t>Put Hedge (at S0)</t>
        </is>
      </c>
      <c r="B50" s="9">
        <f>IF(S0_in&lt;K_PUT, FC_AMT*K_PUT - FC_AMT*PREM_PUT, FC_AMT*S0_in - FC_AMT*PREM_PUT)</f>
        <v/>
      </c>
    </row>
    <row r="51">
      <c r="A51" s="2" t="inlineStr">
        <is>
          <t>Call Hedge (at S0)</t>
        </is>
      </c>
      <c r="B51" s="9">
        <f>IF(S0_in&gt;K_CALL, FC_AMT*K_CALL - FC_AMT*PREM_CALL, FC_AMT*S0_in - FC_AMT*PREM_CALL)</f>
        <v/>
      </c>
    </row>
    <row r="52">
      <c r="A52" s="2" t="inlineStr">
        <is>
          <t>Unhedged (at S0)</t>
        </is>
      </c>
      <c r="B52" s="9">
        <f>FC_AMT*S0_in</f>
        <v/>
      </c>
    </row>
    <row r="53">
      <c r="A53" s="2" t="inlineStr">
        <is>
          <t>Recommendation</t>
        </is>
      </c>
      <c r="B53" s="11" t="inlineStr">
        <is>
          <t>(Leave blank for Stage 5)</t>
        </is>
      </c>
    </row>
  </sheetData>
  <mergeCells count="4">
    <mergeCell ref="A15:D15"/>
    <mergeCell ref="A20:D20"/>
    <mergeCell ref="A27:F27"/>
    <mergeCell ref="A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Notes &amp; Assumptions</t>
        </is>
      </c>
    </row>
    <row r="2">
      <c r="A2" t="inlineStr">
        <is>
          <t>Assumptions: Options are ATM; premiums per EUR given; no transaction costs; 1-year horizon; exchange rates in USD per EUR.</t>
        </is>
      </c>
    </row>
    <row r="3">
      <c r="A3" t="inlineStr">
        <is>
          <t>Verification: USD_forward should approximately equal USD_mm (parity). All named ranges defined.</t>
        </is>
      </c>
    </row>
    <row r="4">
      <c r="A4" t="inlineStr">
        <is>
          <t>Sources: Spot and interest rates as provided by analyst.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2025-12-12T22:23:12Z</dcterms:created>
  <dcterms:modified xmlns:dcterms="http://purl.org/dc/terms/" xmlns:xsi="http://www.w3.org/2001/XMLSchema-instance" xsi:type="dcterms:W3CDTF">2025-12-12T22:23:12Z</dcterms:modified>
</cp:coreProperties>
</file>