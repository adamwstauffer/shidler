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>
    <definedName name="yearCurrent">Ratios!$C$3</definedName>
    <definedName name="yearStart">Ratios!$C$4</definedName>
    <definedName name="share_price">Ratios!$C$5</definedName>
    <definedName name="shares_outstanding">Ratios!$C$6</definedName>
    <definedName name="cost_capital">Ratios!$C$7</definedName>
    <definedName name="tax_rate">Ratios!$C$8</definedName>
    <definedName name="market_capitalization">Ratios!$C$9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currentYear_after_tax_operating_income">Ratios!$C$19</definedName>
    <definedName name="currentYear_daily_sales_average">Ratios!$C$20</definedName>
    <definedName name="currentYear_equity">Ratios!$C$21</definedName>
    <definedName name="currentYear_cash_marketable_securities">Ratios!$C$22</definedName>
    <definedName name="currentYear_assets_current">Ratios!$C$23</definedName>
    <definedName name="currentYear_liabilities_current">Ratios!$C$24</definedName>
    <definedName name="currentYear_cost_goods_sold_daily">Ratios!$C$25</definedName>
    <definedName name="currentYear_debt_long_term">Ratios!$C$26</definedName>
    <definedName name="currentYear_working_capital_net">Ratios!$C$27</definedName>
    <definedName name="currentYear_assets_total">Ratios!$C$28</definedName>
    <definedName name="currentYear_total_capitalization">Ratios!$C$29</definedName>
    <definedName name="currentYear_liabilities_total">Ratios!$C$30</definedName>
    <definedName name="avg_equity">Ratios!$C$33</definedName>
    <definedName name="avg_total_assets">Ratios!$C$34</definedName>
    <definedName name="avg_total_capitalization">Ratios!$C$35</definedName>
    <definedName name="debt_long_term_equity">Ratios!$C$36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%"/>
    <numFmt numFmtId="167" formatCode="#,##0.0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44444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000000"/>
      <sz val="9"/>
    </font>
    <font>
      <name val="Open Sans"/>
      <color theme="1"/>
      <sz val="11"/>
    </font>
    <font>
      <name val="Open Sans"/>
      <b val="1"/>
      <color rgb="FF1F3864"/>
      <sz val="13"/>
    </font>
    <font>
      <name val="Open Sans"/>
      <b val="1"/>
      <color rgb="FFFFFFFF"/>
      <sz val="10"/>
    </font>
    <font>
      <name val="Open Sans"/>
      <b val="1"/>
      <color rgb="FFFFFFFF"/>
      <sz val="9"/>
    </font>
    <font>
      <name val="Open Sans"/>
      <color rgb="FF666666"/>
      <sz val="8"/>
    </font>
    <font>
      <name val="Open Sans"/>
      <color rgb="FF000000"/>
      <sz val="10"/>
    </font>
    <font>
      <name val="Open Sans"/>
      <color rgb="FF0000FF"/>
      <sz val="10"/>
    </font>
    <font>
      <name val="Open Sans"/>
      <b val="1"/>
      <color rgb="FF000000"/>
      <sz val="10"/>
    </font>
    <font>
      <name val="Open Sans"/>
      <b val="1"/>
      <color rgb="FF1F3864"/>
      <sz val="10"/>
    </font>
    <font>
      <name val="Open Sans"/>
      <b val="1"/>
      <color rgb="FF1F3864"/>
      <sz val="11"/>
    </font>
    <font>
      <name val="Open Sans"/>
      <b val="1"/>
      <color rgb="FFFFFFFF"/>
      <sz val="11"/>
    </font>
    <font>
      <name val="Open Sans"/>
      <color rgb="FF444444"/>
      <sz val="9"/>
    </font>
    <font>
      <name val="Open Sans"/>
      <color rgb="FF1F3864"/>
      <sz val="9"/>
    </font>
    <font>
      <name val="Open Sans"/>
      <color rgb="FF888888"/>
      <sz val="9"/>
    </font>
    <font>
      <name val="Open Sans"/>
      <color rgb="FF777777"/>
      <sz val="9"/>
    </font>
    <font>
      <name val="Open Sans"/>
      <b val="1"/>
      <color rgb="FF000000"/>
      <sz val="9"/>
    </font>
    <font>
      <name val="Open Sans"/>
      <color rgb="FF000000"/>
      <sz val="8"/>
    </font>
    <font>
      <name val="Open Sans"/>
      <b val="1"/>
      <color rgb="FF1F3864"/>
      <sz val="9"/>
    </font>
    <font>
      <name val="Open Sans"/>
      <color rgb="FF000000"/>
      <sz val="9"/>
    </font>
    <font>
      <name val="Open Sans"/>
      <b val="1"/>
      <color rgb="001F3864"/>
      <sz val="10"/>
    </font>
    <font>
      <name val="Open Sans"/>
      <color rgb="00000000"/>
      <sz val="10"/>
    </font>
    <font>
      <name val="Open Sans"/>
      <color rgb="000000FF"/>
      <sz val="10"/>
    </font>
    <font>
      <name val="Open Sans"/>
      <b val="1"/>
      <color rgb="00FFFFFF"/>
      <sz val="10"/>
    </font>
    <font>
      <name val="Open Sans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right" vertical="center"/>
    </xf>
    <xf numFmtId="165" fontId="8" fillId="8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9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29" fillId="6" borderId="0" applyAlignment="1" pivotButton="0" quotePrefix="0" xfId="0">
      <alignment horizontal="left" vertical="center"/>
    </xf>
    <xf numFmtId="3" fontId="42" fillId="11" borderId="1" applyAlignment="1" pivotButton="0" quotePrefix="0" xfId="0">
      <alignment horizontal="right" vertical="center"/>
    </xf>
    <xf numFmtId="3" fontId="41" fillId="11" borderId="1" applyAlignment="1" pivotButton="0" quotePrefix="0" xfId="0">
      <alignment horizontal="right" vertical="center"/>
    </xf>
    <xf numFmtId="3" fontId="43" fillId="11" borderId="1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3" fontId="44" fillId="12" borderId="1" applyAlignment="1" pivotButton="0" quotePrefix="0" xfId="0">
      <alignment horizontal="right" vertical="center"/>
    </xf>
    <xf numFmtId="0" fontId="45" fillId="0" borderId="0" pivotButton="0" quotePrefix="0" xfId="0"/>
    <xf numFmtId="3" fontId="45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164" fontId="28" fillId="5" borderId="0" applyAlignment="1" pivotButton="0" quotePrefix="0" xfId="0">
      <alignment horizontal="right" vertical="center"/>
    </xf>
    <xf numFmtId="166" fontId="42" fillId="13" borderId="0" applyAlignment="1" pivotButton="0" quotePrefix="0" xfId="0">
      <alignment horizontal="right" vertical="center"/>
    </xf>
    <xf numFmtId="3" fontId="42" fillId="11" borderId="0" applyAlignment="1" pivotButton="0" quotePrefix="0" xfId="0">
      <alignment horizontal="right" vertical="center"/>
    </xf>
    <xf numFmtId="165" fontId="27" fillId="8" borderId="0" applyAlignment="1" pivotButton="0" quotePrefix="0" xfId="0">
      <alignment horizontal="right" vertical="center"/>
    </xf>
    <xf numFmtId="164" fontId="29" fillId="7" borderId="0" applyAlignment="1" pivotButton="0" quotePrefix="0" xfId="0">
      <alignment horizontal="right" vertical="center"/>
    </xf>
    <xf numFmtId="166" fontId="42" fillId="13" borderId="0" pivotButton="0" quotePrefix="0" xfId="0"/>
    <xf numFmtId="3" fontId="42" fillId="11" borderId="0" applyAlignment="1" pivotButton="0" quotePrefix="0" xfId="0">
      <alignment horizontal="general" vertical="bottom"/>
    </xf>
    <xf numFmtId="166" fontId="42" fillId="1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left" vertical="center"/>
    </xf>
    <xf numFmtId="164" fontId="43" fillId="14" borderId="0" applyAlignment="1" pivotButton="0" quotePrefix="0" xfId="0">
      <alignment horizontal="right" vertical="center"/>
    </xf>
    <xf numFmtId="0" fontId="33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4" fontId="42" fillId="11" borderId="0" applyAlignment="1" pivotButton="0" quotePrefix="0" xfId="0">
      <alignment horizontal="right" vertical="center"/>
    </xf>
    <xf numFmtId="167" fontId="42" fillId="11" borderId="0" applyAlignment="1" pivotButton="0" quotePrefix="0" xfId="0">
      <alignment horizontal="right" vertical="center"/>
    </xf>
    <xf numFmtId="0" fontId="35" fillId="10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6" customWidth="1" style="35" min="2" max="2"/>
    <col width="16" customWidth="1" style="35" min="3" max="4"/>
    <col width="2" customWidth="1" style="35" min="5" max="5"/>
    <col width="36" customWidth="1" style="35" min="6" max="6"/>
    <col width="16" customWidth="1" style="35" min="7" max="8"/>
  </cols>
  <sheetData>
    <row r="1" ht="21.75" customHeight="1" s="36">
      <c r="A1" s="37" t="n"/>
      <c r="B1" s="38" t="inlineStr">
        <is>
          <t>Balance Sheet — Apple Inc. (AAPL)</t>
        </is>
      </c>
      <c r="C1" s="37" t="n"/>
      <c r="D1" s="37" t="n"/>
      <c r="E1" s="37" t="n"/>
      <c r="F1" s="37" t="n"/>
      <c r="G1" s="37" t="n"/>
      <c r="H1" s="37" t="n"/>
    </row>
    <row r="2" ht="18" customHeight="1" s="36">
      <c r="A2" s="37" t="n"/>
      <c r="B2" s="39" t="inlineStr">
        <is>
          <t>ASSETS</t>
        </is>
      </c>
      <c r="C2" s="40" t="inlineStr">
        <is>
          <t>FY2024 (Sep 28, 2024)</t>
        </is>
      </c>
      <c r="D2" s="40" t="inlineStr">
        <is>
          <t>FY2023 (Sep 30, 2023)</t>
        </is>
      </c>
      <c r="E2" s="41" t="n"/>
      <c r="F2" s="39" t="inlineStr">
        <is>
          <t>LIABILITIES &amp; EQUITY</t>
        </is>
      </c>
      <c r="G2" s="40" t="inlineStr">
        <is>
          <t>FY2024 (Sep 28, 2024)</t>
        </is>
      </c>
      <c r="H2" s="40" t="inlineStr">
        <is>
          <t>FY2023 (Sep 30, 2023)</t>
        </is>
      </c>
    </row>
    <row r="3" ht="12" customHeight="1" s="36">
      <c r="A3" s="37" t="n"/>
      <c r="B3" s="42" t="inlineStr">
        <is>
          <t>(All figures in $millions)</t>
        </is>
      </c>
      <c r="C3" s="41" t="n"/>
      <c r="D3" s="41" t="n"/>
      <c r="E3" s="37" t="n"/>
      <c r="F3" s="42" t="inlineStr">
        <is>
          <t>(All figures in $millions)</t>
        </is>
      </c>
      <c r="G3" s="41" t="n"/>
      <c r="H3" s="41" t="n"/>
    </row>
    <row r="4" ht="15.75" customHeight="1" s="36">
      <c r="A4" s="37" t="n"/>
      <c r="B4" s="43" t="inlineStr">
        <is>
          <t>Current Assets</t>
        </is>
      </c>
      <c r="C4" s="44" t="n"/>
      <c r="D4" s="44" t="n"/>
      <c r="E4" s="41" t="n"/>
      <c r="F4" s="43" t="inlineStr">
        <is>
          <t>Current Liabilities</t>
        </is>
      </c>
      <c r="G4" s="44" t="n"/>
      <c r="H4" s="44" t="n"/>
    </row>
    <row r="5" ht="15" customHeight="1" s="36">
      <c r="A5" s="37" t="n"/>
      <c r="B5" s="45" t="inlineStr">
        <is>
          <t xml:space="preserve">   Cash and marketable securities</t>
        </is>
      </c>
      <c r="C5" s="46" t="n">
        <v>29943</v>
      </c>
      <c r="D5" s="46" t="n">
        <v>29965</v>
      </c>
      <c r="E5" s="41" t="n"/>
      <c r="F5" s="45" t="inlineStr">
        <is>
          <t xml:space="preserve">   Debt due for repayment</t>
        </is>
      </c>
      <c r="G5" s="46" t="n">
        <v>10912</v>
      </c>
      <c r="H5" s="46" t="n">
        <v>9822</v>
      </c>
    </row>
    <row r="6" ht="15" customHeight="1" s="36">
      <c r="A6" s="37" t="n"/>
      <c r="B6" s="45" t="inlineStr">
        <is>
          <t xml:space="preserve">   Receivables</t>
        </is>
      </c>
      <c r="C6" s="46" t="n">
        <v>33410</v>
      </c>
      <c r="D6" s="46" t="n">
        <v>29508</v>
      </c>
      <c r="E6" s="41" t="n"/>
      <c r="F6" s="45" t="inlineStr">
        <is>
          <t xml:space="preserve">   Accounts payable</t>
        </is>
      </c>
      <c r="G6" s="46" t="n">
        <v>68960</v>
      </c>
      <c r="H6" s="46" t="n">
        <v>62611</v>
      </c>
    </row>
    <row r="7" ht="15" customHeight="1" s="36">
      <c r="A7" s="37" t="n"/>
      <c r="B7" s="45" t="inlineStr">
        <is>
          <t xml:space="preserve">   Inventories</t>
        </is>
      </c>
      <c r="C7" s="46" t="n">
        <v>7286</v>
      </c>
      <c r="D7" s="46" t="n">
        <v>6331</v>
      </c>
      <c r="E7" s="41" t="n"/>
      <c r="F7" s="45" t="inlineStr">
        <is>
          <t xml:space="preserve">   Other current liabilities</t>
        </is>
      </c>
      <c r="G7" s="46" t="n">
        <v>50071</v>
      </c>
      <c r="H7" s="46" t="n">
        <v>53204</v>
      </c>
    </row>
    <row r="8" ht="15" customHeight="1" s="36">
      <c r="A8" s="37" t="n"/>
      <c r="B8" s="45" t="inlineStr">
        <is>
          <t xml:space="preserve">   Other current assets</t>
        </is>
      </c>
      <c r="C8" s="46" t="n">
        <v>14695</v>
      </c>
      <c r="D8" s="46" t="n">
        <v>14695</v>
      </c>
      <c r="E8" s="41" t="n"/>
      <c r="F8" s="47" t="inlineStr">
        <is>
          <t xml:space="preserve">   Total current liabilities</t>
        </is>
      </c>
      <c r="G8" s="48">
        <f>SUM(G5:G7)</f>
        <v/>
      </c>
      <c r="H8" s="48">
        <f>SUM(H5:H7)</f>
        <v/>
      </c>
    </row>
    <row r="9" ht="15" customHeight="1" s="36">
      <c r="A9" s="37" t="n"/>
      <c r="B9" s="47" t="inlineStr">
        <is>
          <t xml:space="preserve">   Total current assets</t>
        </is>
      </c>
      <c r="C9" s="49">
        <f>SUM(C5:C8)</f>
        <v/>
      </c>
      <c r="D9" s="49">
        <f>SUM(D5:D8)</f>
        <v/>
      </c>
      <c r="E9" s="41" t="n"/>
      <c r="F9" s="37" t="n"/>
      <c r="G9" s="37" t="n"/>
      <c r="H9" s="37" t="n"/>
    </row>
    <row r="10" ht="6" customHeight="1" s="36">
      <c r="A10" s="37" t="n"/>
      <c r="B10" s="37" t="n"/>
      <c r="C10" s="37" t="n"/>
      <c r="D10" s="37" t="n"/>
      <c r="E10" s="41" t="n"/>
      <c r="F10" s="45" t="inlineStr">
        <is>
          <t xml:space="preserve">   Long-term debt</t>
        </is>
      </c>
      <c r="G10" s="46" t="n">
        <v>85750</v>
      </c>
      <c r="H10" s="46" t="n">
        <v>95281</v>
      </c>
    </row>
    <row r="11" ht="15.75" customHeight="1" s="36">
      <c r="A11" s="37" t="n"/>
      <c r="B11" s="43" t="inlineStr">
        <is>
          <t>Fixed Assets</t>
        </is>
      </c>
      <c r="C11" s="44" t="n"/>
      <c r="D11" s="44" t="n"/>
      <c r="E11" s="41" t="n"/>
      <c r="F11" s="45" t="inlineStr">
        <is>
          <t xml:space="preserve">   Other long-term liabilities</t>
        </is>
      </c>
      <c r="G11" s="46" t="n">
        <v>35749</v>
      </c>
      <c r="H11" s="46" t="n">
        <v>34391</v>
      </c>
    </row>
    <row r="12" ht="15" customHeight="1" s="36">
      <c r="A12" s="37" t="n"/>
      <c r="B12" s="45" t="inlineStr">
        <is>
          <t xml:space="preserve">   Property, plant, and equipment</t>
        </is>
      </c>
      <c r="C12" s="46" t="n">
        <v>114307</v>
      </c>
      <c r="D12" s="46" t="n">
        <v>109528</v>
      </c>
      <c r="E12" s="41" t="n"/>
      <c r="F12" s="37" t="n"/>
      <c r="G12" s="37" t="n"/>
      <c r="H12" s="37" t="n"/>
    </row>
    <row r="13" ht="15" customHeight="1" s="36">
      <c r="A13" s="37" t="n"/>
      <c r="B13" s="45" t="inlineStr">
        <is>
          <t xml:space="preserve">   Less accumulated depreciation</t>
        </is>
      </c>
      <c r="C13" s="46" t="n">
        <v>73448</v>
      </c>
      <c r="D13" s="46" t="n">
        <v>70884</v>
      </c>
      <c r="E13" s="41" t="n"/>
      <c r="F13" s="47" t="inlineStr">
        <is>
          <t>Total Liabilities</t>
        </is>
      </c>
      <c r="G13" s="48">
        <f>G8+G10+G11</f>
        <v/>
      </c>
      <c r="H13" s="48">
        <f>H8+H10+H11</f>
        <v/>
      </c>
    </row>
    <row r="14" ht="15" customHeight="1" s="36">
      <c r="A14" s="37" t="n"/>
      <c r="B14" s="47" t="inlineStr">
        <is>
          <t xml:space="preserve">   Net tangible fixed assets</t>
        </is>
      </c>
      <c r="C14" s="49">
        <f>C12-C13</f>
        <v/>
      </c>
      <c r="D14" s="49">
        <f>D12-D13</f>
        <v/>
      </c>
      <c r="E14" s="41" t="n"/>
      <c r="F14" s="37" t="n"/>
      <c r="G14" s="37" t="n"/>
      <c r="H14" s="37" t="n"/>
    </row>
    <row r="15" ht="6" customHeight="1" s="36">
      <c r="A15" s="37" t="n"/>
      <c r="B15" s="37" t="n"/>
      <c r="C15" s="37" t="n"/>
      <c r="D15" s="37" t="n"/>
      <c r="E15" s="41" t="n"/>
      <c r="F15" s="43" t="inlineStr">
        <is>
          <t>Shareholders' Equity</t>
        </is>
      </c>
      <c r="G15" s="44" t="n"/>
      <c r="H15" s="44" t="n"/>
    </row>
    <row r="16" ht="15.75" customHeight="1" s="36">
      <c r="A16" s="37" t="n"/>
      <c r="B16" s="43" t="inlineStr">
        <is>
          <t>Other Assets</t>
        </is>
      </c>
      <c r="C16" s="44" t="n"/>
      <c r="D16" s="44" t="n"/>
      <c r="E16" s="41" t="n"/>
      <c r="F16" s="45" t="inlineStr">
        <is>
          <t xml:space="preserve">   Common stock and paid-in capital</t>
        </is>
      </c>
      <c r="G16" s="46" t="n">
        <v>83276</v>
      </c>
      <c r="H16" s="46" t="n">
        <v>73812</v>
      </c>
    </row>
    <row r="17" ht="15" customHeight="1" s="36">
      <c r="A17" s="37" t="n"/>
      <c r="B17" s="45" t="inlineStr">
        <is>
          <t xml:space="preserve">   Intangible assets (goodwill)</t>
        </is>
      </c>
      <c r="C17" s="46" t="n">
        <v>0</v>
      </c>
      <c r="D17" s="46" t="n">
        <v>0</v>
      </c>
      <c r="E17" s="41" t="n"/>
      <c r="F17" s="45" t="inlineStr">
        <is>
          <t xml:space="preserve">   Retained earnings</t>
        </is>
      </c>
      <c r="G17" s="46" t="n">
        <v>-19154</v>
      </c>
      <c r="H17" s="46" t="n">
        <v>-214</v>
      </c>
    </row>
    <row r="18" ht="15" customHeight="1" s="36">
      <c r="A18" s="37" t="n"/>
      <c r="B18" s="45" t="inlineStr">
        <is>
          <t xml:space="preserve">   Other assets</t>
        </is>
      </c>
      <c r="C18" s="50">
        <f>G20-C9-C14-C17</f>
        <v/>
      </c>
      <c r="D18" s="50">
        <f>H20-D9-D14-D17</f>
        <v/>
      </c>
      <c r="E18" s="41" t="n"/>
      <c r="F18" s="47" t="inlineStr">
        <is>
          <t xml:space="preserve">   Total shareholders' equity</t>
        </is>
      </c>
      <c r="G18" s="48">
        <f>G16+G17</f>
        <v/>
      </c>
      <c r="H18" s="48">
        <f>H16+H17</f>
        <v/>
      </c>
    </row>
    <row r="19" ht="6" customHeight="1" s="36">
      <c r="A19" s="37" t="n"/>
      <c r="B19" s="37" t="n"/>
      <c r="C19" s="37" t="n"/>
      <c r="D19" s="37" t="n"/>
      <c r="E19" s="41" t="n"/>
      <c r="F19" s="37" t="n"/>
      <c r="G19" s="37" t="n"/>
      <c r="H19" s="37" t="n"/>
    </row>
    <row r="20" ht="15" customHeight="1" s="36">
      <c r="A20" s="37" t="n"/>
      <c r="B20" s="51" t="inlineStr">
        <is>
          <t>Total Assets</t>
        </is>
      </c>
      <c r="C20" s="52">
        <f>C9+C14+C17+C18</f>
        <v/>
      </c>
      <c r="D20" s="52">
        <f>D9+D14+D17+D18</f>
        <v/>
      </c>
      <c r="E20" s="41" t="n"/>
      <c r="F20" s="51" t="inlineStr">
        <is>
          <t>Total Liabilities + Equity</t>
        </is>
      </c>
      <c r="G20" s="52">
        <f>G13+G18</f>
        <v/>
      </c>
      <c r="H20" s="52">
        <f>H13+H18</f>
        <v/>
      </c>
    </row>
    <row r="21">
      <c r="A21" s="37" t="n"/>
      <c r="B21" s="53" t="inlineStr">
        <is>
          <t>Balance Check (TA − TL&amp;E)</t>
        </is>
      </c>
      <c r="C21" s="54">
        <f>C20-G20</f>
        <v/>
      </c>
      <c r="D21" s="37" t="n"/>
      <c r="E21" s="37" t="n"/>
      <c r="F21" s="37" t="n"/>
      <c r="G21" s="37" t="n"/>
      <c r="H21" s="37" t="n"/>
    </row>
    <row r="22" ht="13.5" customHeight="1" s="36">
      <c r="A22" s="37" t="n"/>
      <c r="B22" s="55" t="inlineStr">
        <is>
          <t>Source: Apple 10-K FY2024, SEC EDGAR</t>
        </is>
      </c>
      <c r="C22" s="37" t="n"/>
      <c r="D22" s="37" t="n"/>
      <c r="E22" s="37" t="n"/>
      <c r="F22" s="37" t="n"/>
      <c r="G22" s="37" t="n"/>
      <c r="H2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46" customWidth="1" style="35" min="2" max="2"/>
    <col width="18" customWidth="1" style="35" min="3" max="3"/>
    <col width="14" customWidth="1" style="35" min="4" max="4"/>
  </cols>
  <sheetData>
    <row r="1" ht="21.75" customHeight="1" s="36">
      <c r="A1" s="37" t="n"/>
      <c r="B1" s="38" t="inlineStr">
        <is>
          <t>Income Statement — Apple Inc. (AAPL)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(Sep 28, 2024)</t>
        </is>
      </c>
      <c r="D2" s="56" t="inlineStr">
        <is>
          <t>% of Sales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" customHeight="1" s="36">
      <c r="A4" s="37" t="n"/>
      <c r="B4" s="45" t="inlineStr">
        <is>
          <t>Net sales</t>
        </is>
      </c>
      <c r="C4" s="58" t="n">
        <v>391035</v>
      </c>
      <c r="D4" s="59">
        <f>IF(C$4=0,0,C4/C$4)</f>
        <v/>
      </c>
    </row>
    <row r="5" ht="15" customHeight="1" s="36">
      <c r="A5" s="37" t="n"/>
      <c r="B5" s="45" t="inlineStr">
        <is>
          <t>less Cost of goods sold</t>
        </is>
      </c>
      <c r="C5" s="58" t="n">
        <v>210352</v>
      </c>
      <c r="D5" s="59">
        <f>IF(C$4=0,0,C5/C$4)</f>
        <v/>
      </c>
    </row>
    <row r="6" ht="15" customHeight="1" s="36">
      <c r="A6" s="37" t="n"/>
      <c r="B6" s="45" t="inlineStr">
        <is>
          <t>less Selling, general &amp; administrative</t>
        </is>
      </c>
      <c r="C6" s="60">
        <f>C4-C5</f>
        <v/>
      </c>
      <c r="D6" s="59">
        <f>IF(C$4=0,0,C6/C$4)</f>
        <v/>
      </c>
    </row>
    <row r="7" ht="15" customHeight="1" s="36">
      <c r="A7" s="37" t="n"/>
      <c r="B7" s="45" t="inlineStr">
        <is>
          <t>less Depreciation</t>
        </is>
      </c>
      <c r="C7" s="58" t="n">
        <v>11445</v>
      </c>
      <c r="D7" s="61" t="n">
        <v>0.0292684798035981</v>
      </c>
    </row>
    <row r="8" ht="15" customHeight="1" s="36">
      <c r="A8" s="37" t="n"/>
      <c r="B8" s="47" t="inlineStr">
        <is>
          <t>Earnings before interest &amp; taxes (EBIT)</t>
        </is>
      </c>
      <c r="C8" s="62" t="n">
        <v>143141</v>
      </c>
      <c r="D8" s="59">
        <f>IF(C$4=0,0,C8/C$4)</f>
        <v/>
      </c>
    </row>
    <row r="9" ht="6" customHeight="1" s="36">
      <c r="A9" s="37" t="n"/>
      <c r="B9" s="37" t="n"/>
      <c r="C9" s="37" t="n"/>
      <c r="D9" s="63">
        <f>IF(C$4=0,0,C9/C$4)</f>
        <v/>
      </c>
    </row>
    <row r="10" ht="15" customHeight="1" s="36">
      <c r="A10" s="37" t="n"/>
      <c r="B10" s="45" t="inlineStr">
        <is>
          <t>plus Other income</t>
        </is>
      </c>
      <c r="C10" s="58" t="n">
        <v>3764</v>
      </c>
      <c r="D10" s="59">
        <f>IF(C$4=0,0,C10/C$4)</f>
        <v/>
      </c>
    </row>
    <row r="11" ht="15" customHeight="1" s="36">
      <c r="A11" s="37" t="n"/>
      <c r="B11" s="45" t="inlineStr">
        <is>
          <t>less Interest expense</t>
        </is>
      </c>
      <c r="C11" s="58" t="n">
        <v>3931</v>
      </c>
      <c r="D11" s="61" t="n">
        <v>0.0100528085721227</v>
      </c>
    </row>
    <row r="12" ht="15" customHeight="1" s="36">
      <c r="A12" s="37" t="n"/>
      <c r="B12" s="47" t="inlineStr">
        <is>
          <t>Taxable income</t>
        </is>
      </c>
      <c r="C12" s="60">
        <f>C6-C8-C9-C10</f>
        <v/>
      </c>
      <c r="D12" s="59">
        <f>IF(C$4=0,0,C12/C$4)</f>
        <v/>
      </c>
    </row>
    <row r="13" ht="6" customHeight="1" s="36">
      <c r="A13" s="37" t="n"/>
      <c r="B13" s="37" t="n"/>
      <c r="C13" s="37" t="n"/>
      <c r="D13" s="63">
        <f>IF(C$4=0,0,C13/C$4)</f>
        <v/>
      </c>
    </row>
    <row r="14" ht="15" customHeight="1" s="36">
      <c r="A14" s="37" t="n"/>
      <c r="B14" s="45" t="inlineStr">
        <is>
          <t>less Taxes</t>
        </is>
      </c>
      <c r="C14" s="58" t="n">
        <v>29749</v>
      </c>
      <c r="D14" s="61" t="n">
        <v>0.0760775889626248</v>
      </c>
    </row>
    <row r="15" ht="15" customHeight="1" s="36">
      <c r="A15" s="37" t="n"/>
      <c r="B15" s="47" t="inlineStr">
        <is>
          <t>Net income</t>
        </is>
      </c>
      <c r="C15" s="60">
        <f>C12-C13</f>
        <v/>
      </c>
      <c r="D15" s="59">
        <f>IF(C$4=0,0,C15/C$4)</f>
        <v/>
      </c>
    </row>
    <row r="16" ht="6" customHeight="1" s="36">
      <c r="A16" s="37" t="n"/>
      <c r="B16" s="37" t="n"/>
      <c r="C16" s="37" t="n"/>
      <c r="D16" s="63">
        <f>IF(C$4=0,0,C16/C$4)</f>
        <v/>
      </c>
    </row>
    <row r="17" ht="15.75" customHeight="1" s="36">
      <c r="A17" s="37" t="n"/>
      <c r="B17" s="43" t="inlineStr">
        <is>
          <t>Allocation of Net Income</t>
        </is>
      </c>
      <c r="C17" s="64">
        <f>C15-C16</f>
        <v/>
      </c>
      <c r="D17" s="65">
        <f>IF(C$4=0,0,C17/C$4)</f>
        <v/>
      </c>
    </row>
    <row r="18" ht="15" customHeight="1" s="36">
      <c r="A18" s="37" t="n"/>
      <c r="B18" s="45" t="inlineStr">
        <is>
          <t>Dividends</t>
        </is>
      </c>
      <c r="C18" s="58" t="n">
        <v>15234</v>
      </c>
      <c r="D18" s="59">
        <f>IF(C$4=0,0,C18/C$4)</f>
        <v/>
      </c>
    </row>
    <row r="19" ht="15" customHeight="1" s="36">
      <c r="A19" s="37" t="n"/>
      <c r="B19" s="45" t="inlineStr">
        <is>
          <t>Addition to retained earnings</t>
        </is>
      </c>
      <c r="C19" s="60">
        <f>C17-C18</f>
        <v/>
      </c>
      <c r="D19" s="59">
        <f>IF(C$4=0,0,C19/C$4)</f>
        <v/>
      </c>
    </row>
    <row r="20">
      <c r="A20" s="37" t="n"/>
      <c r="B20" s="37" t="n"/>
      <c r="C20" s="37" t="n"/>
      <c r="D20" s="37" t="n"/>
    </row>
    <row r="21" ht="15" customHeight="1" s="36">
      <c r="A21" s="37" t="n"/>
      <c r="B21" s="57" t="inlineStr">
        <is>
          <t>Source: Apple 10-K FY2024, SEC EDGAR</t>
        </is>
      </c>
      <c r="C21" s="37" t="n"/>
      <c r="D21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52" customWidth="1" style="35" min="2" max="2"/>
    <col width="18" customWidth="1" style="35" min="3" max="3"/>
    <col width="22" customWidth="1" style="35" min="4" max="4"/>
  </cols>
  <sheetData>
    <row r="1" ht="21.75" customHeight="1" s="36">
      <c r="A1" s="37" t="n"/>
      <c r="B1" s="38" t="inlineStr">
        <is>
          <t>Cash Flow Statement — Apple Inc. (AAPL)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(Sep 28, 2024)</t>
        </is>
      </c>
      <c r="D2" s="56" t="inlineStr">
        <is>
          <t>Source / Notes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.75" customHeight="1" s="36">
      <c r="A4" s="37" t="n"/>
      <c r="B4" s="43" t="inlineStr">
        <is>
          <t>Operations:</t>
        </is>
      </c>
      <c r="C4" s="44" t="n"/>
      <c r="D4" s="44" t="n"/>
    </row>
    <row r="5" ht="15" customHeight="1" s="36">
      <c r="A5" s="37" t="n"/>
      <c r="B5" s="45" t="inlineStr">
        <is>
          <t>Net income</t>
        </is>
      </c>
      <c r="C5" s="58" t="n">
        <v>113225</v>
      </c>
      <c r="D5" s="66" t="inlineStr">
        <is>
          <t>[Income Statement]</t>
        </is>
      </c>
    </row>
    <row r="6" ht="15" customHeight="1" s="36">
      <c r="A6" s="37" t="n"/>
      <c r="B6" s="45" t="inlineStr">
        <is>
          <t>plus Depreciation</t>
        </is>
      </c>
      <c r="C6" s="58" t="n">
        <v>11445</v>
      </c>
      <c r="D6" s="66" t="inlineStr">
        <is>
          <t>[Income Statement]</t>
        </is>
      </c>
    </row>
    <row r="7" ht="15" customHeight="1" s="36">
      <c r="A7" s="37" t="n"/>
      <c r="B7" s="45" t="inlineStr">
        <is>
          <t xml:space="preserve">      plus Changes in working capital items</t>
        </is>
      </c>
      <c r="C7" s="58" t="n"/>
      <c r="D7" s="66" t="n"/>
    </row>
    <row r="8" ht="15" customHeight="1" s="36">
      <c r="A8" s="37" t="n"/>
      <c r="B8" s="45" t="inlineStr">
        <is>
          <t xml:space="preserve">      Decrease (increase) in accounts receivable</t>
        </is>
      </c>
      <c r="C8" s="58" t="n">
        <v>-3419</v>
      </c>
      <c r="D8" s="66" t="inlineStr">
        <is>
          <t>[Balance Sheet]</t>
        </is>
      </c>
    </row>
    <row r="9" ht="15" customHeight="1" s="36">
      <c r="A9" s="37" t="n"/>
      <c r="B9" s="45" t="inlineStr">
        <is>
          <t xml:space="preserve">      Decrease (increase) in inventories</t>
        </is>
      </c>
      <c r="C9" s="58" t="n">
        <v>-953</v>
      </c>
      <c r="D9" s="66" t="inlineStr">
        <is>
          <t>[Balance Sheet]</t>
        </is>
      </c>
    </row>
    <row r="10" ht="15" customHeight="1" s="36">
      <c r="A10" s="37" t="n"/>
      <c r="B10" s="45" t="inlineStr">
        <is>
          <t xml:space="preserve">      Decrease (increase) in other current assets</t>
        </is>
      </c>
      <c r="C10" s="58" t="n">
        <v>0</v>
      </c>
      <c r="D10" s="66" t="inlineStr">
        <is>
          <t>[Balance Sheet]</t>
        </is>
      </c>
    </row>
    <row r="11" ht="15" customHeight="1" s="36">
      <c r="A11" s="37" t="n"/>
      <c r="B11" s="45" t="inlineStr">
        <is>
          <t xml:space="preserve">      Increase (decrease) in accounts payable</t>
        </is>
      </c>
      <c r="C11" s="58" t="n">
        <v>6020</v>
      </c>
      <c r="D11" s="66" t="inlineStr">
        <is>
          <t>[Balance Sheet]</t>
        </is>
      </c>
    </row>
    <row r="12" ht="15" customHeight="1" s="36">
      <c r="A12" s="37" t="n"/>
      <c r="B12" s="45" t="inlineStr">
        <is>
          <t xml:space="preserve">      Increase (decrease) in other current liabilities</t>
        </is>
      </c>
      <c r="C12" s="58" t="n">
        <v>669</v>
      </c>
      <c r="D12" s="66" t="inlineStr">
        <is>
          <t>[Balance Sheet]</t>
        </is>
      </c>
    </row>
    <row r="13" ht="15" customHeight="1" s="36">
      <c r="A13" s="37" t="n"/>
      <c r="B13" s="47" t="inlineStr">
        <is>
          <t xml:space="preserve">      Total change in working capital</t>
        </is>
      </c>
      <c r="C13" s="60">
        <f>SUM(C8:C12)</f>
        <v/>
      </c>
      <c r="D13" s="66" t="n"/>
    </row>
    <row r="14" ht="15" customHeight="1" s="36">
      <c r="A14" s="37" t="n"/>
      <c r="B14" s="47" t="inlineStr">
        <is>
          <t xml:space="preserve">   Cash provided by operations</t>
        </is>
      </c>
      <c r="C14" s="60">
        <f>C5+C6+C13</f>
        <v/>
      </c>
      <c r="D14" s="66" t="n"/>
    </row>
    <row r="15" ht="6" customHeight="1" s="36">
      <c r="A15" s="37" t="n"/>
      <c r="B15" s="37" t="n"/>
      <c r="C15" s="37" t="n"/>
      <c r="D15" s="37" t="n"/>
    </row>
    <row r="16" ht="15.75" customHeight="1" s="36">
      <c r="A16" s="37" t="n"/>
      <c r="B16" s="43" t="inlineStr">
        <is>
          <t>Investments:</t>
        </is>
      </c>
      <c r="C16" s="44" t="n"/>
      <c r="D16" s="44" t="n"/>
    </row>
    <row r="17" ht="15" customHeight="1" s="36">
      <c r="A17" s="37" t="n"/>
      <c r="B17" s="45" t="inlineStr">
        <is>
          <t>Capital expenditures</t>
        </is>
      </c>
      <c r="C17" s="58" t="n">
        <v>-9447</v>
      </c>
      <c r="D17" s="66" t="n"/>
    </row>
    <row r="18" ht="15" customHeight="1" s="36">
      <c r="A18" s="37" t="n"/>
      <c r="B18" s="45" t="inlineStr">
        <is>
          <t>plus Sales (acquisitions) of long-term assets</t>
        </is>
      </c>
      <c r="C18" s="58" t="n">
        <v>1339</v>
      </c>
      <c r="D18" s="66" t="n"/>
    </row>
    <row r="19" ht="15" customHeight="1" s="36">
      <c r="A19" s="37" t="n"/>
      <c r="B19" s="45" t="inlineStr">
        <is>
          <t>plus Other investing activities</t>
        </is>
      </c>
      <c r="C19" s="58" t="n">
        <v>-1308</v>
      </c>
      <c r="D19" s="66" t="n"/>
    </row>
    <row r="20" ht="15" customHeight="1" s="36">
      <c r="A20" s="37" t="n"/>
      <c r="B20" s="47" t="inlineStr">
        <is>
          <t xml:space="preserve">   Cash provided by (used for) investments</t>
        </is>
      </c>
      <c r="C20" s="60">
        <f>SUM(C17:C19)</f>
        <v/>
      </c>
      <c r="D20" s="66" t="n"/>
    </row>
    <row r="21" ht="6" customHeight="1" s="36">
      <c r="A21" s="37" t="n"/>
      <c r="B21" s="37" t="n"/>
      <c r="C21" s="37" t="n"/>
      <c r="D21" s="37" t="n"/>
    </row>
    <row r="22" ht="15.75" customHeight="1" s="36">
      <c r="A22" s="37" t="n"/>
      <c r="B22" s="43" t="inlineStr">
        <is>
          <t>Financing activities:</t>
        </is>
      </c>
      <c r="C22" s="44" t="n"/>
      <c r="D22" s="44" t="n"/>
    </row>
    <row r="23" ht="15" customHeight="1" s="36">
      <c r="A23" s="37" t="n"/>
      <c r="B23" s="45" t="inlineStr">
        <is>
          <t>Increase (decrease) in short-term debt</t>
        </is>
      </c>
      <c r="C23" s="58" t="n">
        <v>-9958</v>
      </c>
      <c r="D23" s="66" t="n"/>
    </row>
    <row r="24" ht="15" customHeight="1" s="36">
      <c r="A24" s="37" t="n"/>
      <c r="B24" s="45" t="inlineStr">
        <is>
          <t>plus Increase (decrease) in long-term debt</t>
        </is>
      </c>
      <c r="C24" s="58" t="n">
        <v>-5998</v>
      </c>
      <c r="D24" s="66" t="n"/>
    </row>
    <row r="25" ht="15" customHeight="1" s="36">
      <c r="A25" s="37" t="n"/>
      <c r="B25" s="45" t="inlineStr">
        <is>
          <t>plus Dividends</t>
        </is>
      </c>
      <c r="C25" s="58" t="n">
        <v>-15234</v>
      </c>
      <c r="D25" s="66" t="n"/>
    </row>
    <row r="26" ht="15" customHeight="1" s="36">
      <c r="A26" s="37" t="n"/>
      <c r="B26" s="45" t="inlineStr">
        <is>
          <t>plus Issues (repurchases) of stock</t>
        </is>
      </c>
      <c r="C26" s="58" t="n">
        <v>-94949</v>
      </c>
      <c r="D26" s="66" t="n"/>
    </row>
    <row r="27" ht="15" customHeight="1" s="36">
      <c r="A27" s="37" t="n"/>
      <c r="B27" s="45" t="inlineStr">
        <is>
          <t>plus Other</t>
        </is>
      </c>
      <c r="C27" s="58" t="n">
        <v>274</v>
      </c>
      <c r="D27" s="66" t="n"/>
    </row>
    <row r="28" ht="15" customHeight="1" s="36">
      <c r="A28" s="37" t="n"/>
      <c r="B28" s="47" t="inlineStr">
        <is>
          <t xml:space="preserve">   Cash provided by (used for) financing</t>
        </is>
      </c>
      <c r="C28" s="60">
        <f>SUM(C23:C27)</f>
        <v/>
      </c>
      <c r="D28" s="66" t="n"/>
    </row>
    <row r="29" ht="6" customHeight="1" s="36">
      <c r="A29" s="37" t="n"/>
      <c r="B29" s="37" t="n"/>
      <c r="C29" s="37" t="n"/>
      <c r="D29" s="37" t="n"/>
    </row>
    <row r="30" ht="15" customHeight="1" s="36">
      <c r="A30" s="37" t="n"/>
      <c r="B30" s="47" t="inlineStr">
        <is>
          <t xml:space="preserve">   Net increase (decrease) in cash</t>
        </is>
      </c>
      <c r="C30" s="60">
        <f>C14+C20+C28</f>
        <v/>
      </c>
      <c r="D30" s="66" t="n"/>
    </row>
    <row r="31">
      <c r="A31" s="37" t="n"/>
      <c r="B31" s="37" t="n"/>
      <c r="C31" s="37" t="n"/>
      <c r="D31" s="37" t="n"/>
    </row>
    <row r="32" ht="15" customHeight="1" s="36">
      <c r="A32" s="37" t="n"/>
      <c r="B32" s="57" t="inlineStr">
        <is>
          <t>Source: Apple 10-K FY2024, SEC EDGAR</t>
        </is>
      </c>
      <c r="C32" s="37" t="n"/>
      <c r="D3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8" customWidth="1" style="35" min="2" max="2"/>
    <col width="16" customWidth="1" style="35" min="3" max="3"/>
    <col width="52" customWidth="1" style="35" min="4" max="4"/>
    <col width="28" customWidth="1" style="35" min="5" max="5"/>
  </cols>
  <sheetData>
    <row r="1" ht="21.75" customHeight="1" s="36">
      <c r="A1" s="37" t="n"/>
      <c r="B1" s="38" t="inlineStr">
        <is>
          <t>Ratios — Apple Inc. (AAPL)</t>
        </is>
      </c>
      <c r="C1" s="37" t="n"/>
      <c r="D1" s="37" t="n"/>
      <c r="E1" s="37" t="n"/>
    </row>
    <row r="2" ht="18" customHeight="1" s="36">
      <c r="A2" s="37" t="n"/>
      <c r="B2" s="56" t="inlineStr">
        <is>
          <t>Metric</t>
        </is>
      </c>
      <c r="C2" s="56" t="inlineStr">
        <is>
          <t>Input</t>
        </is>
      </c>
      <c r="D2" s="56" t="inlineStr">
        <is>
          <t>Named Range Formula</t>
        </is>
      </c>
      <c r="E2" s="56" t="inlineStr">
        <is>
          <t>Named Range</t>
        </is>
      </c>
    </row>
    <row r="3" ht="15" customHeight="1" s="36">
      <c r="A3" s="37" t="n"/>
      <c r="B3" s="45" t="inlineStr">
        <is>
          <t>Current year</t>
        </is>
      </c>
      <c r="C3" s="67" t="n">
        <v>2024</v>
      </c>
      <c r="D3" s="68" t="n"/>
      <c r="E3" s="69" t="inlineStr">
        <is>
          <t>yearCurrent</t>
        </is>
      </c>
    </row>
    <row r="4" ht="15" customHeight="1" s="36">
      <c r="A4" s="37" t="n"/>
      <c r="B4" s="45" t="inlineStr">
        <is>
          <t>Start of year</t>
        </is>
      </c>
      <c r="C4" s="67" t="n">
        <v>2023</v>
      </c>
      <c r="D4" s="68" t="inlineStr">
        <is>
          <t>yearCurrent - 1</t>
        </is>
      </c>
      <c r="E4" s="69" t="inlineStr">
        <is>
          <t>yearStart</t>
        </is>
      </c>
    </row>
    <row r="5" ht="15" customHeight="1" s="36">
      <c r="A5" s="37" t="n"/>
      <c r="B5" s="45" t="inlineStr">
        <is>
          <t>Share price</t>
        </is>
      </c>
      <c r="C5" s="67" t="n">
        <v>226.51</v>
      </c>
      <c r="D5" s="68" t="n"/>
      <c r="E5" s="69" t="inlineStr">
        <is>
          <t>share_price</t>
        </is>
      </c>
    </row>
    <row r="6" ht="15" customHeight="1" s="36">
      <c r="A6" s="37" t="n"/>
      <c r="B6" s="45" t="inlineStr">
        <is>
          <t>Shares outstanding (M)</t>
        </is>
      </c>
      <c r="C6" s="67" t="n">
        <v>15204</v>
      </c>
      <c r="D6" s="68" t="n"/>
      <c r="E6" s="69" t="inlineStr">
        <is>
          <t>shares_outstanding</t>
        </is>
      </c>
    </row>
    <row r="7" ht="15" customHeight="1" s="36">
      <c r="A7" s="37" t="n"/>
      <c r="B7" s="45" t="inlineStr">
        <is>
          <t>Cost of capital</t>
        </is>
      </c>
      <c r="C7" s="67" t="n">
        <v>0.09</v>
      </c>
      <c r="D7" s="68" t="n"/>
      <c r="E7" s="69" t="inlineStr">
        <is>
          <t>cost_capital</t>
        </is>
      </c>
    </row>
    <row r="8" ht="15" customHeight="1" s="36">
      <c r="A8" s="37" t="n"/>
      <c r="B8" s="45" t="inlineStr">
        <is>
          <t>Tax rate</t>
        </is>
      </c>
      <c r="C8" s="67" t="n">
        <v>0.241</v>
      </c>
      <c r="D8" s="68" t="n"/>
      <c r="E8" s="69" t="inlineStr">
        <is>
          <t>tax_rate</t>
        </is>
      </c>
    </row>
    <row r="9" ht="15" customHeight="1" s="36">
      <c r="A9" s="37" t="n"/>
      <c r="B9" s="45" t="inlineStr">
        <is>
          <t>Market capitalization</t>
        </is>
      </c>
      <c r="C9" s="70">
        <f>C5*C6</f>
        <v/>
      </c>
      <c r="D9" s="68" t="inlineStr">
        <is>
          <t>share_price × shares_outstanding</t>
        </is>
      </c>
      <c r="E9" s="69" t="inlineStr">
        <is>
          <t>market_capitalization</t>
        </is>
      </c>
    </row>
    <row r="10" ht="6" customHeight="1" s="36">
      <c r="A10" s="37" t="n"/>
      <c r="B10" s="37" t="n"/>
      <c r="C10" s="37" t="n"/>
      <c r="D10" s="37" t="n"/>
      <c r="E10" s="37" t="n"/>
    </row>
    <row r="11" ht="15.75" customHeight="1" s="36">
      <c r="A11" s="37" t="n"/>
      <c r="B11" s="43" t="inlineStr">
        <is>
          <t>─── Start of Year (Prior Year Balance Sheet) ───</t>
        </is>
      </c>
      <c r="C11" s="44" t="n"/>
      <c r="D11" s="44" t="n"/>
      <c r="E11" s="44" t="n"/>
    </row>
    <row r="12" ht="15" customHeight="1" s="36">
      <c r="A12" s="37" t="n"/>
      <c r="B12" s="45" t="inlineStr">
        <is>
          <t>Equity (start of year)</t>
        </is>
      </c>
      <c r="C12" s="60">
        <f>'Balance Sheet'!H18</f>
        <v/>
      </c>
      <c r="D12" s="68" t="inlineStr">
        <is>
          <t>BAL_equity_shareholders_2023</t>
        </is>
      </c>
      <c r="E12" s="69" t="inlineStr">
        <is>
          <t>startYear_equity</t>
        </is>
      </c>
    </row>
    <row r="13" ht="15" customHeight="1" s="36">
      <c r="A13" s="37" t="n"/>
      <c r="B13" s="45" t="inlineStr">
        <is>
          <t>Inventories (start of year)</t>
        </is>
      </c>
      <c r="C13" s="60">
        <f>'Balance Sheet'!D7</f>
        <v/>
      </c>
      <c r="D13" s="68" t="inlineStr">
        <is>
          <t>BAL_inventories_2023</t>
        </is>
      </c>
      <c r="E13" s="69" t="inlineStr">
        <is>
          <t>startYear_inventory</t>
        </is>
      </c>
    </row>
    <row r="14" ht="15" customHeight="1" s="36">
      <c r="A14" s="37" t="n"/>
      <c r="B14" s="45" t="inlineStr">
        <is>
          <t>Receivables (start of year)</t>
        </is>
      </c>
      <c r="C14" s="60">
        <f>'Balance Sheet'!D6</f>
        <v/>
      </c>
      <c r="D14" s="68" t="inlineStr">
        <is>
          <t>BAL_receivables_2023</t>
        </is>
      </c>
      <c r="E14" s="69" t="inlineStr">
        <is>
          <t>startYear_receivables</t>
        </is>
      </c>
    </row>
    <row r="15" ht="15" customHeight="1" s="36">
      <c r="A15" s="37" t="n"/>
      <c r="B15" s="45" t="inlineStr">
        <is>
          <t>Total assets (start of year)</t>
        </is>
      </c>
      <c r="C15" s="60">
        <f>'Balance Sheet'!D20</f>
        <v/>
      </c>
      <c r="D15" s="68" t="inlineStr">
        <is>
          <t>BAL_assets_total_2023</t>
        </is>
      </c>
      <c r="E15" s="69" t="inlineStr">
        <is>
          <t>startYear_total_assets</t>
        </is>
      </c>
    </row>
    <row r="16" ht="15" customHeight="1" s="36">
      <c r="A16" s="37" t="n"/>
      <c r="B16" s="45" t="inlineStr">
        <is>
          <t>Total capitalization (start of year)</t>
        </is>
      </c>
      <c r="C16" s="60">
        <f>'Balance Sheet'!H10+'Balance Sheet'!H18</f>
        <v/>
      </c>
      <c r="D16" s="68" t="inlineStr">
        <is>
          <t>BAL_debt_long_term_2023 + BAL_equity_shareholders_2023</t>
        </is>
      </c>
      <c r="E16" s="69" t="inlineStr">
        <is>
          <t>startYear_total_capitalization</t>
        </is>
      </c>
    </row>
    <row r="17" ht="6" customHeight="1" s="36">
      <c r="A17" s="37" t="n"/>
      <c r="B17" s="37" t="n"/>
      <c r="C17" s="37" t="n"/>
      <c r="D17" s="37" t="n"/>
      <c r="E17" s="37" t="n"/>
    </row>
    <row r="18" ht="15.75" customHeight="1" s="36">
      <c r="A18" s="37" t="n"/>
      <c r="B18" s="43" t="inlineStr">
        <is>
          <t>─── Current Year (Derived) ───</t>
        </is>
      </c>
      <c r="C18" s="44" t="n"/>
      <c r="D18" s="44" t="n"/>
      <c r="E18" s="44" t="n"/>
    </row>
    <row r="19" ht="15" customHeight="1" s="36">
      <c r="A19" s="37" t="n"/>
      <c r="B19" s="45" t="inlineStr">
        <is>
          <t>After-tax operating income</t>
        </is>
      </c>
      <c r="C19" s="71">
        <f>'Income Statement'!C17+(1-C8)*'Income Statement'!C13</f>
        <v/>
      </c>
      <c r="D19" s="68" t="inlineStr">
        <is>
          <t>INC_net + (1−tax_rate) × INC_interest_expense</t>
        </is>
      </c>
      <c r="E19" s="69" t="inlineStr">
        <is>
          <t>currentYear_after_tax_operating_income</t>
        </is>
      </c>
    </row>
    <row r="20" ht="15" customHeight="1" s="36">
      <c r="A20" s="37" t="n"/>
      <c r="B20" s="45" t="inlineStr">
        <is>
          <t>Average daily sales</t>
        </is>
      </c>
      <c r="C20" s="70">
        <f>'Income Statement'!C4/365</f>
        <v/>
      </c>
      <c r="D20" s="68" t="inlineStr">
        <is>
          <t>INC_sales / 365</t>
        </is>
      </c>
      <c r="E20" s="69" t="inlineStr">
        <is>
          <t>currentYear_daily_sales_average</t>
        </is>
      </c>
    </row>
    <row r="21" ht="15" customHeight="1" s="36">
      <c r="A21" s="37" t="n"/>
      <c r="B21" s="45" t="inlineStr">
        <is>
          <t>Book value of equity</t>
        </is>
      </c>
      <c r="C21" s="60">
        <f>'Balance Sheet'!G18</f>
        <v/>
      </c>
      <c r="D21" s="68" t="inlineStr">
        <is>
          <t>BAL_equity_shareholders_2024</t>
        </is>
      </c>
      <c r="E21" s="69" t="inlineStr">
        <is>
          <t>currentYear_equity</t>
        </is>
      </c>
    </row>
    <row r="22" ht="15" customHeight="1" s="36">
      <c r="A22" s="37" t="n"/>
      <c r="B22" s="45" t="inlineStr">
        <is>
          <t>Cash + Mktable securities</t>
        </is>
      </c>
      <c r="C22" s="60">
        <f>'Balance Sheet'!C5</f>
        <v/>
      </c>
      <c r="D22" s="68" t="inlineStr">
        <is>
          <t>BAL_cash_marketable_securities_2024</t>
        </is>
      </c>
      <c r="E22" s="69" t="inlineStr">
        <is>
          <t>currentYear_cash_marketable_securities</t>
        </is>
      </c>
    </row>
    <row r="23" ht="15" customHeight="1" s="36">
      <c r="A23" s="37" t="n"/>
      <c r="B23" s="45" t="inlineStr">
        <is>
          <t>Current assets</t>
        </is>
      </c>
      <c r="C23" s="60">
        <f>'Balance Sheet'!C9</f>
        <v/>
      </c>
      <c r="D23" s="68" t="inlineStr">
        <is>
          <t>BAL_assets_current_2024</t>
        </is>
      </c>
      <c r="E23" s="69" t="inlineStr">
        <is>
          <t>currentYear_assets_current</t>
        </is>
      </c>
    </row>
    <row r="24" ht="15" customHeight="1" s="36">
      <c r="A24" s="37" t="n"/>
      <c r="B24" s="45" t="inlineStr">
        <is>
          <t>Current liabilities</t>
        </is>
      </c>
      <c r="C24" s="60">
        <f>'Balance Sheet'!G8</f>
        <v/>
      </c>
      <c r="D24" s="68" t="inlineStr">
        <is>
          <t>BAL_liabilities_current_2024</t>
        </is>
      </c>
      <c r="E24" s="69" t="inlineStr">
        <is>
          <t>currentYear_liabilities_current</t>
        </is>
      </c>
    </row>
    <row r="25" ht="15" customHeight="1" s="36">
      <c r="A25" s="37" t="n"/>
      <c r="B25" s="45" t="inlineStr">
        <is>
          <t>Daily COGS</t>
        </is>
      </c>
      <c r="C25" s="70">
        <f>'Income Statement'!C5/365</f>
        <v/>
      </c>
      <c r="D25" s="68" t="inlineStr">
        <is>
          <t>INC_cost_goods_sold / 365</t>
        </is>
      </c>
      <c r="E25" s="69" t="inlineStr">
        <is>
          <t>currentYear_cost_goods_sold_daily</t>
        </is>
      </c>
    </row>
    <row r="26" ht="15" customHeight="1" s="36">
      <c r="A26" s="37" t="n"/>
      <c r="B26" s="45" t="inlineStr">
        <is>
          <t>Long-term debt</t>
        </is>
      </c>
      <c r="C26" s="60">
        <f>'Balance Sheet'!G10</f>
        <v/>
      </c>
      <c r="D26" s="68" t="inlineStr">
        <is>
          <t>BAL_debt_long_term_2024</t>
        </is>
      </c>
      <c r="E26" s="69" t="inlineStr">
        <is>
          <t>currentYear_debt_long_term</t>
        </is>
      </c>
    </row>
    <row r="27" ht="15" customHeight="1" s="36">
      <c r="A27" s="37" t="n"/>
      <c r="B27" s="45" t="inlineStr">
        <is>
          <t>Net working capital</t>
        </is>
      </c>
      <c r="C27" s="60">
        <f>'Balance Sheet'!C9-'Balance Sheet'!G8</f>
        <v/>
      </c>
      <c r="D27" s="68" t="inlineStr">
        <is>
          <t>BAL_assets_current_2024 − BAL_liabilities_current_2024</t>
        </is>
      </c>
      <c r="E27" s="69" t="inlineStr">
        <is>
          <t>currentYear_working_capital_net</t>
        </is>
      </c>
    </row>
    <row r="28" ht="15" customHeight="1" s="36">
      <c r="A28" s="37" t="n"/>
      <c r="B28" s="45" t="inlineStr">
        <is>
          <t>Total assets</t>
        </is>
      </c>
      <c r="C28" s="60">
        <f>'Balance Sheet'!C20</f>
        <v/>
      </c>
      <c r="D28" s="68" t="inlineStr">
        <is>
          <t>BAL_assets_total_2024</t>
        </is>
      </c>
      <c r="E28" s="69" t="inlineStr">
        <is>
          <t>currentYear_assets_total</t>
        </is>
      </c>
    </row>
    <row r="29" ht="15" customHeight="1" s="36">
      <c r="A29" s="37" t="n"/>
      <c r="B29" s="45" t="inlineStr">
        <is>
          <t>Total capitalization</t>
        </is>
      </c>
      <c r="C29" s="60">
        <f>'Balance Sheet'!G10+'Balance Sheet'!G18</f>
        <v/>
      </c>
      <c r="D29" s="68" t="inlineStr">
        <is>
          <t>BAL_debt_long_term_2024 + BAL_equity_shareholders_2024</t>
        </is>
      </c>
      <c r="E29" s="69" t="inlineStr">
        <is>
          <t>currentYear_total_capitalization</t>
        </is>
      </c>
    </row>
    <row r="30" ht="15" customHeight="1" s="36">
      <c r="A30" s="37" t="n"/>
      <c r="B30" s="45" t="inlineStr">
        <is>
          <t>Total liabilities</t>
        </is>
      </c>
      <c r="C30" s="60">
        <f>'Balance Sheet'!G13</f>
        <v/>
      </c>
      <c r="D30" s="68" t="inlineStr">
        <is>
          <t>BAL_liabilities_total_2024</t>
        </is>
      </c>
      <c r="E30" s="69" t="inlineStr">
        <is>
          <t>currentYear_liabilities_total</t>
        </is>
      </c>
    </row>
    <row r="31" ht="6" customHeight="1" s="36">
      <c r="A31" s="37" t="n"/>
      <c r="B31" s="37" t="n"/>
      <c r="C31" s="37" t="n"/>
      <c r="D31" s="37" t="n"/>
      <c r="E31" s="37" t="n"/>
    </row>
    <row r="32" ht="15.75" customHeight="1" s="36">
      <c r="A32" s="37" t="n"/>
      <c r="B32" s="43" t="inlineStr">
        <is>
          <t>─── Mixed Year (Averages) ───</t>
        </is>
      </c>
      <c r="C32" s="44" t="n"/>
      <c r="D32" s="44" t="n"/>
      <c r="E32" s="44" t="n"/>
    </row>
    <row r="33" ht="15" customHeight="1" s="36">
      <c r="A33" s="37" t="n"/>
      <c r="B33" s="45" t="inlineStr">
        <is>
          <t>Average equity</t>
        </is>
      </c>
      <c r="C33" s="60">
        <f>AVERAGE(C12,C21)</f>
        <v/>
      </c>
      <c r="D33" s="68" t="inlineStr">
        <is>
          <t>AVERAGE(startYear_equity, currentYear_equity)</t>
        </is>
      </c>
      <c r="E33" s="69" t="inlineStr">
        <is>
          <t>avg_equity</t>
        </is>
      </c>
    </row>
    <row r="34" ht="15" customHeight="1" s="36">
      <c r="A34" s="37" t="n"/>
      <c r="B34" s="45" t="inlineStr">
        <is>
          <t>Average total assets</t>
        </is>
      </c>
      <c r="C34" s="60">
        <f>AVERAGE(C15,C28)</f>
        <v/>
      </c>
      <c r="D34" s="68" t="inlineStr">
        <is>
          <t>AVERAGE(startYear_total_assets, currentYear_assets_total)</t>
        </is>
      </c>
      <c r="E34" s="69" t="inlineStr">
        <is>
          <t>avg_total_assets</t>
        </is>
      </c>
    </row>
    <row r="35" ht="15" customHeight="1" s="36">
      <c r="A35" s="37" t="n"/>
      <c r="B35" s="45" t="inlineStr">
        <is>
          <t>Average total capitalization</t>
        </is>
      </c>
      <c r="C35" s="60">
        <f>AVERAGE(C16,C29)</f>
        <v/>
      </c>
      <c r="D35" s="68" t="inlineStr">
        <is>
          <t>AVERAGE(startYear_total_capitalization, currentYear_total_capitalization)</t>
        </is>
      </c>
      <c r="E35" s="69" t="inlineStr">
        <is>
          <t>avg_total_capitalization</t>
        </is>
      </c>
    </row>
    <row r="36" ht="15" customHeight="1" s="36">
      <c r="A36" s="37" t="n"/>
      <c r="B36" s="45" t="inlineStr">
        <is>
          <t>Long-term debt + Equity</t>
        </is>
      </c>
      <c r="C36" s="60">
        <f>C26+C21</f>
        <v/>
      </c>
      <c r="D36" s="68" t="inlineStr">
        <is>
          <t>currentYear_debt_long_term + currentYear_equity</t>
        </is>
      </c>
      <c r="E36" s="69" t="inlineStr">
        <is>
          <t>debt_long_term_equity</t>
        </is>
      </c>
    </row>
    <row r="37" ht="6" customHeight="1" s="36">
      <c r="A37" s="37" t="n"/>
      <c r="B37" s="37" t="n"/>
      <c r="C37" s="37" t="n"/>
      <c r="D37" s="37" t="n"/>
      <c r="E37" s="37" t="n"/>
    </row>
    <row r="38" ht="6" customHeight="1" s="36">
      <c r="A38" s="37" t="n"/>
      <c r="B38" s="37" t="n"/>
      <c r="C38" s="37" t="n"/>
      <c r="D38" s="37" t="n"/>
      <c r="E38" s="37" t="n"/>
    </row>
    <row r="39" ht="18" customHeight="1" s="36">
      <c r="A39" s="37" t="n"/>
      <c r="B39" s="56" t="inlineStr">
        <is>
          <t>Ratio</t>
        </is>
      </c>
      <c r="C39" s="56" t="inlineStr">
        <is>
          <t>Output ← Students Complete</t>
        </is>
      </c>
      <c r="D39" s="56" t="inlineStr">
        <is>
          <t>Named Range Formula (reference)</t>
        </is>
      </c>
      <c r="E39" s="56" t="inlineStr">
        <is>
          <t>Named Range</t>
        </is>
      </c>
    </row>
    <row r="40" ht="15.75" customHeight="1" s="36">
      <c r="A40" s="37" t="n"/>
      <c r="B40" s="43" t="inlineStr">
        <is>
          <t>Performance</t>
        </is>
      </c>
      <c r="C40" s="44" t="n"/>
      <c r="D40" s="44" t="n"/>
      <c r="E40" s="44" t="n"/>
    </row>
    <row r="41" ht="15" customHeight="1" s="36">
      <c r="A41" s="37" t="n"/>
      <c r="B41" s="45" t="inlineStr">
        <is>
          <t>Market value added (MVA)</t>
        </is>
      </c>
      <c r="C41" s="72" t="n"/>
      <c r="D41" s="68" t="inlineStr">
        <is>
          <t>market_capitalization − currentYear_equity</t>
        </is>
      </c>
      <c r="E41" s="69" t="n"/>
    </row>
    <row r="42" ht="15" customHeight="1" s="36">
      <c r="A42" s="37" t="n"/>
      <c r="B42" s="45" t="inlineStr">
        <is>
          <t>Market-to-book ratio</t>
        </is>
      </c>
      <c r="C42" s="72" t="n"/>
      <c r="D42" s="68" t="inlineStr">
        <is>
          <t>market_capitalization / currentYear_equity</t>
        </is>
      </c>
      <c r="E42" s="69" t="n"/>
    </row>
    <row r="43" ht="15" customHeight="1" s="36">
      <c r="A43" s="37" t="n"/>
      <c r="B43" s="45" t="inlineStr">
        <is>
          <t>Economic value added (EVA)</t>
        </is>
      </c>
      <c r="C43" s="72" t="n"/>
      <c r="D43" s="68" t="inlineStr">
        <is>
          <t>currentYear_after_tax_operating_income − (cost_capital × startYear_total_capitalization)</t>
        </is>
      </c>
      <c r="E43" s="69" t="n"/>
    </row>
    <row r="44" ht="6" customHeight="1" s="36">
      <c r="A44" s="37" t="n"/>
      <c r="B44" s="37" t="n"/>
      <c r="C44" s="37" t="n"/>
      <c r="D44" s="37" t="n"/>
      <c r="E44" s="37" t="n"/>
    </row>
    <row r="45" ht="15.75" customHeight="1" s="36">
      <c r="A45" s="37" t="n"/>
      <c r="B45" s="43" t="inlineStr">
        <is>
          <t>Profitability</t>
        </is>
      </c>
      <c r="C45" s="44" t="n"/>
      <c r="D45" s="44" t="n"/>
      <c r="E45" s="44" t="n"/>
    </row>
    <row r="46" ht="15" customHeight="1" s="36">
      <c r="A46" s="37" t="n"/>
      <c r="B46" s="45" t="inlineStr">
        <is>
          <t>Return on assets (ROA)</t>
        </is>
      </c>
      <c r="C46" s="72" t="n"/>
      <c r="D46" s="68" t="inlineStr">
        <is>
          <t>currentYear_after_tax_operating_income / startYear_total_assets</t>
        </is>
      </c>
      <c r="E46" s="69" t="n"/>
    </row>
    <row r="47" ht="15" customHeight="1" s="36">
      <c r="A47" s="37" t="n"/>
      <c r="B47" s="45" t="inlineStr">
        <is>
          <t>Return on capital (ROC)</t>
        </is>
      </c>
      <c r="C47" s="72" t="n"/>
      <c r="D47" s="68" t="inlineStr">
        <is>
          <t>currentYear_after_tax_operating_income / startYear_total_capitalization</t>
        </is>
      </c>
      <c r="E47" s="69" t="n"/>
    </row>
    <row r="48" ht="15" customHeight="1" s="36">
      <c r="A48" s="37" t="n"/>
      <c r="B48" s="45" t="inlineStr">
        <is>
          <t>Return on equity (ROE)</t>
        </is>
      </c>
      <c r="C48" s="72" t="n"/>
      <c r="D48" s="68" t="inlineStr">
        <is>
          <t>INC_net / startYear_equity</t>
        </is>
      </c>
      <c r="E48" s="69" t="n"/>
    </row>
    <row r="49" ht="15" customHeight="1" s="36">
      <c r="A49" s="37" t="n"/>
      <c r="B49" s="45" t="inlineStr">
        <is>
          <t>Return on assets (ROA) [AVG]</t>
        </is>
      </c>
      <c r="C49" s="72" t="n"/>
      <c r="D49" s="68" t="inlineStr">
        <is>
          <t>currentYear_after_tax_operating_income / avg_total_assets</t>
        </is>
      </c>
      <c r="E49" s="69" t="n"/>
    </row>
    <row r="50" ht="15" customHeight="1" s="36">
      <c r="A50" s="37" t="n"/>
      <c r="B50" s="45" t="inlineStr">
        <is>
          <t>Return on capital (ROC) [AVG]</t>
        </is>
      </c>
      <c r="C50" s="72" t="n"/>
      <c r="D50" s="68" t="inlineStr">
        <is>
          <t>currentYear_after_tax_operating_income / avg_total_capitalization</t>
        </is>
      </c>
      <c r="E50" s="69" t="n"/>
    </row>
    <row r="51" ht="15" customHeight="1" s="36">
      <c r="A51" s="37" t="n"/>
      <c r="B51" s="45" t="inlineStr">
        <is>
          <t>Return on equity (ROE) [AVG]</t>
        </is>
      </c>
      <c r="C51" s="72" t="n"/>
      <c r="D51" s="68" t="inlineStr">
        <is>
          <t>INC_net / avg_equity</t>
        </is>
      </c>
      <c r="E51" s="69" t="n"/>
    </row>
    <row r="52" ht="6" customHeight="1" s="36">
      <c r="A52" s="37" t="n"/>
      <c r="B52" s="37" t="n"/>
      <c r="C52" s="37" t="n"/>
      <c r="D52" s="37" t="n"/>
      <c r="E52" s="37" t="n"/>
    </row>
    <row r="53" ht="15.75" customHeight="1" s="36">
      <c r="A53" s="37" t="n"/>
      <c r="B53" s="43" t="inlineStr">
        <is>
          <t>Efficiency</t>
        </is>
      </c>
      <c r="C53" s="44" t="n"/>
      <c r="D53" s="44" t="n"/>
      <c r="E53" s="44" t="n"/>
    </row>
    <row r="54" ht="15" customHeight="1" s="36">
      <c r="A54" s="37" t="n"/>
      <c r="B54" s="45" t="inlineStr">
        <is>
          <t>Asset turnover</t>
        </is>
      </c>
      <c r="C54" s="72" t="n"/>
      <c r="D54" s="68" t="inlineStr">
        <is>
          <t>INC_sales / startYear_total_assets</t>
        </is>
      </c>
      <c r="E54" s="69" t="inlineStr">
        <is>
          <t>RATIO_asset_turnover</t>
        </is>
      </c>
    </row>
    <row r="55" ht="15" customHeight="1" s="36">
      <c r="A55" s="37" t="n"/>
      <c r="B55" s="45" t="inlineStr">
        <is>
          <t>Receivables turnover</t>
        </is>
      </c>
      <c r="C55" s="72" t="n"/>
      <c r="D55" s="68" t="inlineStr">
        <is>
          <t>INC_sales / startYear_receivables</t>
        </is>
      </c>
      <c r="E55" s="69" t="n"/>
    </row>
    <row r="56" ht="15" customHeight="1" s="36">
      <c r="A56" s="37" t="n"/>
      <c r="B56" s="45" t="inlineStr">
        <is>
          <t>Average collection period (days)</t>
        </is>
      </c>
      <c r="C56" s="72" t="n"/>
      <c r="D56" s="68" t="inlineStr">
        <is>
          <t>startYear_receivables / currentYear_daily_sales_average</t>
        </is>
      </c>
      <c r="E56" s="69" t="n"/>
    </row>
    <row r="57" ht="15" customHeight="1" s="36">
      <c r="A57" s="37" t="n"/>
      <c r="B57" s="45" t="inlineStr">
        <is>
          <t>Inventory turnover</t>
        </is>
      </c>
      <c r="C57" s="72" t="n"/>
      <c r="D57" s="68" t="inlineStr">
        <is>
          <t>INC_cost_goods_sold / startYear_inventory</t>
        </is>
      </c>
      <c r="E57" s="69" t="n"/>
    </row>
    <row r="58" ht="15" customHeight="1" s="36">
      <c r="A58" s="37" t="n"/>
      <c r="B58" s="45" t="inlineStr">
        <is>
          <t>Days in inventory</t>
        </is>
      </c>
      <c r="C58" s="72" t="n"/>
      <c r="D58" s="68" t="inlineStr">
        <is>
          <t>startYear_inventory / currentYear_cost_goods_sold_daily</t>
        </is>
      </c>
      <c r="E58" s="69" t="n"/>
    </row>
    <row r="59" ht="15" customHeight="1" s="36">
      <c r="A59" s="37" t="n"/>
      <c r="B59" s="45" t="inlineStr">
        <is>
          <t>Profit margin</t>
        </is>
      </c>
      <c r="C59" s="72" t="n"/>
      <c r="D59" s="68" t="inlineStr">
        <is>
          <t>INC_net / INC_sales</t>
        </is>
      </c>
      <c r="E59" s="69" t="n"/>
    </row>
    <row r="60" ht="15" customHeight="1" s="36">
      <c r="A60" s="37" t="n"/>
      <c r="B60" s="45" t="inlineStr">
        <is>
          <t>Operating profit margin</t>
        </is>
      </c>
      <c r="C60" s="72" t="n"/>
      <c r="D60" s="68" t="inlineStr">
        <is>
          <t>currentYear_after_tax_operating_income / INC_sales</t>
        </is>
      </c>
      <c r="E60" s="69" t="inlineStr">
        <is>
          <t>RATIO_operating_profit_margin</t>
        </is>
      </c>
    </row>
    <row r="61" ht="6" customHeight="1" s="36">
      <c r="A61" s="37" t="n"/>
      <c r="B61" s="37" t="n"/>
      <c r="C61" s="37" t="n"/>
      <c r="D61" s="37" t="n"/>
      <c r="E61" s="37" t="n"/>
    </row>
    <row r="62" ht="15.75" customHeight="1" s="36">
      <c r="A62" s="37" t="n"/>
      <c r="B62" s="43" t="inlineStr">
        <is>
          <t>Leverage</t>
        </is>
      </c>
      <c r="C62" s="44" t="n"/>
      <c r="D62" s="44" t="n"/>
      <c r="E62" s="44" t="n"/>
    </row>
    <row r="63" ht="15" customHeight="1" s="36">
      <c r="A63" s="37" t="n"/>
      <c r="B63" s="45" t="inlineStr">
        <is>
          <t>Long-term debt ratio</t>
        </is>
      </c>
      <c r="C63" s="72" t="n"/>
      <c r="D63" s="68" t="inlineStr">
        <is>
          <t>currentYear_debt_long_term / (currentYear_debt_long_term + currentYear_equity)</t>
        </is>
      </c>
      <c r="E63" s="69" t="n"/>
    </row>
    <row r="64" ht="15" customHeight="1" s="36">
      <c r="A64" s="37" t="n"/>
      <c r="B64" s="45" t="inlineStr">
        <is>
          <t>Long-term debt-equity ratio</t>
        </is>
      </c>
      <c r="C64" s="72" t="n"/>
      <c r="D64" s="68" t="inlineStr">
        <is>
          <t>currentYear_debt_long_term / currentYear_equity</t>
        </is>
      </c>
      <c r="E64" s="69" t="n"/>
    </row>
    <row r="65" ht="15" customHeight="1" s="36">
      <c r="A65" s="37" t="n"/>
      <c r="B65" s="45" t="inlineStr">
        <is>
          <t>Total debt ratio</t>
        </is>
      </c>
      <c r="C65" s="72" t="n"/>
      <c r="D65" s="68" t="inlineStr">
        <is>
          <t>currentYear_liabilities_total / currentYear_assets_total</t>
        </is>
      </c>
      <c r="E65" s="69" t="n"/>
    </row>
    <row r="66" ht="15" customHeight="1" s="36">
      <c r="A66" s="37" t="n"/>
      <c r="B66" s="45" t="inlineStr">
        <is>
          <t>Times interest earned</t>
        </is>
      </c>
      <c r="C66" s="72" t="n"/>
      <c r="D66" s="68" t="inlineStr">
        <is>
          <t>INC_ebit / INC_interest_expense</t>
        </is>
      </c>
      <c r="E66" s="69" t="n"/>
    </row>
    <row r="67" ht="15" customHeight="1" s="36">
      <c r="A67" s="37" t="n"/>
      <c r="B67" s="45" t="inlineStr">
        <is>
          <t>Cash coverage ratio</t>
        </is>
      </c>
      <c r="C67" s="72" t="n"/>
      <c r="D67" s="68" t="inlineStr">
        <is>
          <t>(INC_ebit + INC_depreciation) / INC_interest_expense</t>
        </is>
      </c>
      <c r="E67" s="69" t="n"/>
    </row>
    <row r="68" ht="15" customHeight="1" s="36">
      <c r="A68" s="37" t="n"/>
      <c r="B68" s="45" t="inlineStr">
        <is>
          <t>Debt burden</t>
        </is>
      </c>
      <c r="C68" s="72" t="n"/>
      <c r="D68" s="68" t="inlineStr">
        <is>
          <t>INC_net / currentYear_after_tax_operating_income</t>
        </is>
      </c>
      <c r="E68" s="69" t="inlineStr">
        <is>
          <t>RATIO_debt_burden</t>
        </is>
      </c>
    </row>
    <row r="69" ht="15" customHeight="1" s="36">
      <c r="A69" s="37" t="n"/>
      <c r="B69" s="45" t="inlineStr">
        <is>
          <t>Leverage ratio</t>
        </is>
      </c>
      <c r="C69" s="72" t="n"/>
      <c r="D69" s="68" t="inlineStr">
        <is>
          <t>currentYear_assets_total / currentYear_equity</t>
        </is>
      </c>
      <c r="E69" s="69" t="inlineStr">
        <is>
          <t>RATIO_leverage</t>
        </is>
      </c>
    </row>
    <row r="70" ht="6" customHeight="1" s="36">
      <c r="A70" s="37" t="n"/>
      <c r="B70" s="37" t="n"/>
      <c r="C70" s="37" t="n"/>
      <c r="D70" s="37" t="n"/>
      <c r="E70" s="37" t="n"/>
    </row>
    <row r="71" ht="15.75" customHeight="1" s="36">
      <c r="A71" s="37" t="n"/>
      <c r="B71" s="43" t="inlineStr">
        <is>
          <t>Liquidity</t>
        </is>
      </c>
      <c r="C71" s="44" t="n"/>
      <c r="D71" s="44" t="n"/>
      <c r="E71" s="44" t="n"/>
    </row>
    <row r="72" ht="15" customHeight="1" s="36">
      <c r="A72" s="37" t="n"/>
      <c r="B72" s="45" t="inlineStr">
        <is>
          <t>Net working capital to assets</t>
        </is>
      </c>
      <c r="C72" s="72" t="n"/>
      <c r="D72" s="68" t="inlineStr">
        <is>
          <t>currentYear_working_capital_net / currentYear_assets_total</t>
        </is>
      </c>
      <c r="E72" s="69" t="n"/>
    </row>
    <row r="73" ht="15" customHeight="1" s="36">
      <c r="A73" s="37" t="n"/>
      <c r="B73" s="45" t="inlineStr">
        <is>
          <t>Current ratio</t>
        </is>
      </c>
      <c r="C73" s="72" t="n"/>
      <c r="D73" s="68" t="inlineStr">
        <is>
          <t>currentYear_assets_current / currentYear_liabilities_current</t>
        </is>
      </c>
      <c r="E73" s="69" t="n"/>
    </row>
    <row r="74" ht="15" customHeight="1" s="36">
      <c r="A74" s="37" t="n"/>
      <c r="B74" s="45" t="inlineStr">
        <is>
          <t>Quick ratio</t>
        </is>
      </c>
      <c r="C74" s="72" t="n"/>
      <c r="D74" s="68" t="inlineStr">
        <is>
          <t>(currentYear_cash_marketable_securities + BAL_receivables_YEAR) / currentYear_liabilities_current</t>
        </is>
      </c>
      <c r="E74" s="69" t="n"/>
    </row>
    <row r="75" ht="15" customHeight="1" s="36">
      <c r="A75" s="37" t="n"/>
      <c r="B75" s="45" t="inlineStr">
        <is>
          <t>Cash ratio</t>
        </is>
      </c>
      <c r="C75" s="72" t="n"/>
      <c r="D75" s="68" t="inlineStr">
        <is>
          <t>currentYear_cash_marketable_securities / currentYear_liabilities_current</t>
        </is>
      </c>
      <c r="E75" s="69" t="n"/>
    </row>
    <row r="76" ht="6" customHeight="1" s="36">
      <c r="A76" s="37" t="n"/>
      <c r="B76" s="37" t="n"/>
      <c r="C76" s="37" t="n"/>
      <c r="D76" s="37" t="n"/>
      <c r="E76" s="37" t="n"/>
    </row>
    <row r="77" ht="15.75" customHeight="1" s="36">
      <c r="A77" s="37" t="n"/>
      <c r="B77" s="43" t="inlineStr">
        <is>
          <t>Du Pont System</t>
        </is>
      </c>
      <c r="C77" s="44" t="n"/>
      <c r="D77" s="44" t="n"/>
      <c r="E77" s="44" t="n"/>
    </row>
    <row r="78" ht="15" customHeight="1" s="36">
      <c r="A78" s="37" t="n"/>
      <c r="B78" s="45" t="inlineStr">
        <is>
          <t>Return on assets (Du Pont)</t>
        </is>
      </c>
      <c r="C78" s="72" t="n"/>
      <c r="D78" s="68" t="inlineStr">
        <is>
          <t>RATIO_asset_turnover × RATIO_operating_profit_margin</t>
        </is>
      </c>
      <c r="E78" s="69" t="n"/>
    </row>
    <row r="79" ht="15" customHeight="1" s="36">
      <c r="A79" s="37" t="n"/>
      <c r="B79" s="73" t="inlineStr">
        <is>
          <t xml:space="preserve">  └   └ Asset turnover</t>
        </is>
      </c>
      <c r="C79" s="72" t="n"/>
      <c r="D79" s="68" t="inlineStr">
        <is>
          <t>→ from Efficiency section</t>
        </is>
      </c>
      <c r="E79" s="69" t="inlineStr">
        <is>
          <t>RATIO_asset_turnover</t>
        </is>
      </c>
    </row>
    <row r="80" ht="15" customHeight="1" s="36">
      <c r="A80" s="37" t="n"/>
      <c r="B80" s="73" t="inlineStr">
        <is>
          <t xml:space="preserve">  └   └ Operating profit margin</t>
        </is>
      </c>
      <c r="C80" s="72" t="n"/>
      <c r="D80" s="68" t="inlineStr">
        <is>
          <t>→ from Efficiency section</t>
        </is>
      </c>
      <c r="E80" s="69" t="inlineStr">
        <is>
          <t>RATIO_operating_profit_margin</t>
        </is>
      </c>
    </row>
    <row r="81" ht="6" customHeight="1" s="36">
      <c r="A81" s="37" t="n"/>
      <c r="B81" s="37" t="n"/>
      <c r="C81" s="37" t="n"/>
      <c r="D81" s="37" t="n"/>
      <c r="E81" s="37" t="n"/>
    </row>
    <row r="82" ht="15" customHeight="1" s="36">
      <c r="A82" s="37" t="n"/>
      <c r="B82" s="45" t="inlineStr">
        <is>
          <t>Return on equity (Du Pont)</t>
        </is>
      </c>
      <c r="C82" s="72" t="n"/>
      <c r="D82" s="68" t="inlineStr">
        <is>
          <t>RATIO_leverage × RATIO_asset_turnover × RATIO_operating_profit_margin × RATIO_debt_burden</t>
        </is>
      </c>
      <c r="E82" s="69" t="n"/>
    </row>
    <row r="83" ht="15" customHeight="1" s="36">
      <c r="A83" s="37" t="n"/>
      <c r="B83" s="73" t="inlineStr">
        <is>
          <t xml:space="preserve">  └   └ Leverage ratio</t>
        </is>
      </c>
      <c r="C83" s="72" t="n"/>
      <c r="D83" s="68" t="inlineStr">
        <is>
          <t>→ from Leverage section</t>
        </is>
      </c>
      <c r="E83" s="69" t="inlineStr">
        <is>
          <t>RATIO_leverage</t>
        </is>
      </c>
    </row>
    <row r="84" ht="15" customHeight="1" s="36">
      <c r="A84" s="37" t="n"/>
      <c r="B84" s="73" t="inlineStr">
        <is>
          <t xml:space="preserve">  └   └ Asset turnover</t>
        </is>
      </c>
      <c r="C84" s="72" t="n"/>
      <c r="D84" s="68" t="inlineStr">
        <is>
          <t>→ from Efficiency section</t>
        </is>
      </c>
      <c r="E84" s="69" t="inlineStr">
        <is>
          <t>RATIO_asset_turnover</t>
        </is>
      </c>
    </row>
    <row r="85" ht="15" customHeight="1" s="36">
      <c r="A85" s="37" t="n"/>
      <c r="B85" s="73" t="inlineStr">
        <is>
          <t xml:space="preserve">  └   └ Operating profit margin</t>
        </is>
      </c>
      <c r="C85" s="72" t="n"/>
      <c r="D85" s="68" t="inlineStr">
        <is>
          <t>→ from Efficiency section</t>
        </is>
      </c>
      <c r="E85" s="69" t="inlineStr">
        <is>
          <t>RATIO_operating_profit_margin</t>
        </is>
      </c>
    </row>
    <row r="86" ht="15" customHeight="1" s="36">
      <c r="A86" s="37" t="n"/>
      <c r="B86" s="73" t="inlineStr">
        <is>
          <t xml:space="preserve">  └   └ Debt burden</t>
        </is>
      </c>
      <c r="C86" s="72" t="n"/>
      <c r="D86" s="68" t="inlineStr">
        <is>
          <t>→ from Leverage section</t>
        </is>
      </c>
      <c r="E86" s="69" t="inlineStr">
        <is>
          <t>RATIO_debt_burden</t>
        </is>
      </c>
    </row>
    <row r="87" ht="6" customHeight="1" s="36">
      <c r="A87" s="37" t="n"/>
      <c r="B87" s="37" t="n"/>
      <c r="C87" s="37" t="n"/>
      <c r="D87" s="37" t="n"/>
      <c r="E87" s="37" t="n"/>
    </row>
    <row r="88">
      <c r="A88" s="37" t="n"/>
      <c r="B88" s="37" t="n"/>
      <c r="C88" s="37" t="n"/>
      <c r="D88" s="37" t="n"/>
      <c r="E88" s="37" t="n"/>
    </row>
    <row r="89" ht="13.5" customHeight="1" s="36">
      <c r="A89" s="37" t="n"/>
      <c r="B89" s="74" t="inlineStr">
        <is>
          <t>Color Key:</t>
        </is>
      </c>
      <c r="C89" s="75" t="inlineStr">
        <is>
          <t>Blue = Assumptions (analyst inputs)</t>
        </is>
      </c>
      <c r="D89" s="76" t="inlineStr">
        <is>
          <t>Yellow = Data inputs (from financials)</t>
        </is>
      </c>
      <c r="E89" s="77" t="inlineStr">
        <is>
          <t>Light yellow = Student formula output cells</t>
        </is>
      </c>
    </row>
    <row r="90" ht="15" customHeight="1" s="36">
      <c r="A90" s="37" t="n"/>
      <c r="B90" s="57" t="inlineStr">
        <is>
          <t>Source: Apple 10-K FY2024, SEC EDGAR</t>
        </is>
      </c>
      <c r="C90" s="37" t="n"/>
      <c r="D90" s="37" t="n"/>
      <c r="E90" s="37" t="n"/>
    </row>
  </sheetData>
  <dataValidations count="1">
    <dataValidation sqref="C7 C8" showDropDown="0" showInputMessage="0" showErrorMessage="0" allowBlank="0" errorTitle="Invalid %" error="Enter a value between 0% and 100%" type="decimal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60" customWidth="1" style="35" min="2" max="2"/>
    <col width="55" customWidth="1" style="35" min="3" max="3"/>
  </cols>
  <sheetData>
    <row r="1" ht="21.75" customHeight="1" s="36">
      <c r="A1" s="37" t="n"/>
      <c r="B1" s="78" t="inlineStr">
        <is>
          <t>Notes &amp; Assumptions — Apple Inc. (AAPL)</t>
        </is>
      </c>
      <c r="C1" s="37" t="n"/>
    </row>
    <row r="2">
      <c r="A2" s="37" t="n"/>
      <c r="B2" s="37" t="n"/>
      <c r="C2" s="37" t="n"/>
    </row>
    <row r="3" ht="15" customHeight="1" s="36">
      <c r="A3" s="37" t="n"/>
      <c r="B3" s="79" t="inlineStr">
        <is>
          <t>Company:</t>
        </is>
      </c>
      <c r="C3" s="80" t="inlineStr">
        <is>
          <t>Apple Inc.</t>
        </is>
      </c>
    </row>
    <row r="4" ht="15" customHeight="1" s="36">
      <c r="A4" s="37" t="n"/>
      <c r="B4" s="79" t="inlineStr">
        <is>
          <t>Ticker:</t>
        </is>
      </c>
      <c r="C4" s="80" t="inlineStr">
        <is>
          <t>AAPL</t>
        </is>
      </c>
    </row>
    <row r="5" ht="15" customHeight="1" s="36">
      <c r="A5" s="37" t="n"/>
      <c r="B5" s="79" t="inlineStr">
        <is>
          <t>Industry:</t>
        </is>
      </c>
      <c r="C5" s="80" t="inlineStr">
        <is>
          <t>Technology – Consumer Electronics &amp; Software</t>
        </is>
      </c>
    </row>
    <row r="6" ht="15" customHeight="1" s="36">
      <c r="A6" s="37" t="n"/>
      <c r="B6" s="79" t="inlineStr">
        <is>
          <t>Fiscal Year (current):</t>
        </is>
      </c>
      <c r="C6" s="80" t="inlineStr">
        <is>
          <t>FY2024 (Sep 28, 2024)</t>
        </is>
      </c>
    </row>
    <row r="7" ht="15" customHeight="1" s="36">
      <c r="A7" s="37" t="n"/>
      <c r="B7" s="79" t="inlineStr">
        <is>
          <t>Fiscal Year (prior):</t>
        </is>
      </c>
      <c r="C7" s="80" t="inlineStr">
        <is>
          <t>FY2023 (Sep 30, 2023)</t>
        </is>
      </c>
    </row>
    <row r="8" ht="15" customHeight="1" s="36">
      <c r="A8" s="37" t="n"/>
      <c r="B8" s="79" t="inlineStr">
        <is>
          <t>Data Source:</t>
        </is>
      </c>
      <c r="C8" s="80" t="inlineStr">
        <is>
          <t>Apple 10-K FY2024, SEC EDGAR</t>
        </is>
      </c>
    </row>
    <row r="9" ht="15" customHeight="1" s="36">
      <c r="A9" s="37" t="n"/>
      <c r="B9" s="79" t="inlineStr">
        <is>
          <t>Units:</t>
        </is>
      </c>
      <c r="C9" s="80" t="inlineStr">
        <is>
          <t>All figures in millions of US dollars unless otherwise noted.</t>
        </is>
      </c>
    </row>
    <row r="10" ht="15" customHeight="1" s="36">
      <c r="A10" s="37" t="n"/>
      <c r="B10" s="79" t="inlineStr">
        <is>
          <t>Tax Rate:</t>
        </is>
      </c>
      <c r="C10" s="80" t="inlineStr">
        <is>
          <t>24.1% — use as analyst assumption (adjust to effective rate if preferred)</t>
        </is>
      </c>
    </row>
    <row r="11" ht="15" customHeight="1" s="36">
      <c r="A11" s="37" t="n"/>
      <c r="B11" s="79" t="inlineStr">
        <is>
          <t>Cost of Capital:</t>
        </is>
      </c>
      <c r="C11" s="80" t="inlineStr">
        <is>
          <t>9.0% — estimated WACC; students may refine using CAPM + class methodology</t>
        </is>
      </c>
    </row>
    <row r="12" ht="15" customHeight="1" s="36">
      <c r="A12" s="37" t="n"/>
      <c r="B12" s="79" t="inlineStr">
        <is>
          <t>Share Price:</t>
        </is>
      </c>
      <c r="C12" s="80" t="inlineStr">
        <is>
          <t>$226.51 — end-of-fiscal-year closing price</t>
        </is>
      </c>
    </row>
    <row r="13" ht="15" customHeight="1" s="36">
      <c r="A13" s="37" t="n"/>
      <c r="B13" s="79" t="inlineStr">
        <is>
          <t>Shares Outstanding:</t>
        </is>
      </c>
      <c r="C13" s="80" t="inlineStr">
        <is>
          <t>15,204M shares</t>
        </is>
      </c>
    </row>
    <row r="14" ht="15" customHeight="1" s="36">
      <c r="A14" s="37" t="n"/>
      <c r="B14" s="37" t="n"/>
      <c r="C14" s="80" t="n"/>
    </row>
    <row r="15" ht="15" customHeight="1" s="36">
      <c r="A15" s="37" t="n"/>
      <c r="B15" s="79" t="inlineStr">
        <is>
          <t>BUS-314 Project Use:</t>
        </is>
      </c>
      <c r="C15" s="80" t="inlineStr">
        <is>
          <t>This workbook provides real financial statement data for the Accounting &amp; Performance Ratios project.</t>
        </is>
      </c>
    </row>
    <row r="16" ht="15" customHeight="1" s="36">
      <c r="A16" s="37" t="n"/>
      <c r="B16" s="79" t="inlineStr">
        <is>
          <t>Stage 2 Task:</t>
        </is>
      </c>
      <c r="C16" s="80" t="inlineStr">
        <is>
          <t>Complete the Ratios tab by entering formulas using the named ranges shown in column D.</t>
        </is>
      </c>
    </row>
    <row r="17" ht="15" customHeight="1" s="36">
      <c r="A17" s="37" t="n"/>
      <c r="B17" s="79" t="inlineStr">
        <is>
          <t>Stage 3 Task:</t>
        </is>
      </c>
      <c r="C17" s="80" t="inlineStr">
        <is>
          <t>Document your model in a Technical Specification using the template-spec.md template.</t>
        </is>
      </c>
    </row>
    <row r="18" ht="15" customHeight="1" s="36">
      <c r="A18" s="37" t="n"/>
      <c r="B18" s="79" t="inlineStr">
        <is>
          <t>Stage 4 Task:</t>
        </is>
      </c>
      <c r="C18" s="80" t="inlineStr">
        <is>
          <t>Interpret results and write an executive memo with strategic recommendations.</t>
        </is>
      </c>
    </row>
    <row r="19" ht="15" customHeight="1" s="36">
      <c r="A19" s="37" t="n"/>
      <c r="B19" s="37" t="n"/>
      <c r="C19" s="80" t="n"/>
    </row>
    <row r="20" ht="15" customHeight="1" s="36">
      <c r="A20" s="37" t="n"/>
      <c r="B20" s="79" t="inlineStr">
        <is>
          <t>AI Usage:</t>
        </is>
      </c>
      <c r="C20" s="80" t="inlineStr">
        <is>
          <t>[Document any AI tools used and how they were applied — required per course AI guidelines]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2026-03-25T17:31:22Z</dcterms:created>
  <dcterms:modified xmlns:dcterms="http://purl.org/dc/terms/" xmlns:xsi="http://www.w3.org/2001/XMLSchema-instance" xsi:type="dcterms:W3CDTF">2026-03-25T18:09:43Z</dcterms:modified>
  <cp:revision>0</cp:revision>
</cp:coreProperties>
</file>